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828ada933058ef/Área de Trabalho/"/>
    </mc:Choice>
  </mc:AlternateContent>
  <xr:revisionPtr revIDLastSave="0" documentId="14_{60D15F14-938E-4D43-AA4B-0CA60444D791}" xr6:coauthVersionLast="47" xr6:coauthVersionMax="47" xr10:uidLastSave="{00000000-0000-0000-0000-000000000000}"/>
  <bookViews>
    <workbookView xWindow="-120" yWindow="-120" windowWidth="20730" windowHeight="11160" activeTab="1" xr2:uid="{58F8CEB3-6C57-49B6-940D-2C8D7056E069}"/>
  </bookViews>
  <sheets>
    <sheet name="segunda" sheetId="1" r:id="rId1"/>
    <sheet name="terça" sheetId="2" r:id="rId2"/>
    <sheet name="quarta" sheetId="3" r:id="rId3"/>
    <sheet name="sexta" sheetId="4" r:id="rId4"/>
    <sheet name="sábad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3" l="1"/>
  <c r="J43" i="3" a="1"/>
  <c r="H41" i="3"/>
  <c r="H41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<sst xmlns="http://schemas.openxmlformats.org/spreadsheetml/2006/main" count="485" uniqueCount="247">
  <si>
    <t>AGENDA DIÁRIA | COMPROVANTE PRESENCIAL</t>
  </si>
  <si>
    <t>Profissional: Patrícia Belletti</t>
  </si>
  <si>
    <t>Início do atendimento</t>
  </si>
  <si>
    <t>Nome</t>
  </si>
  <si>
    <t>Operadora</t>
  </si>
  <si>
    <t>1º horário</t>
  </si>
  <si>
    <t>2º horário</t>
  </si>
  <si>
    <t>Diagnóstico</t>
  </si>
  <si>
    <t>Token 1</t>
  </si>
  <si>
    <t>Token 2</t>
  </si>
  <si>
    <t>Rubrica</t>
  </si>
  <si>
    <t>Arthur da Conceição de Almeida</t>
  </si>
  <si>
    <t>Sulámerica</t>
  </si>
  <si>
    <t>TDL - Atraso da linguagem</t>
  </si>
  <si>
    <t>atendimento parental Valentina Romeu Cheung</t>
  </si>
  <si>
    <t>reposição a marcar</t>
  </si>
  <si>
    <t>Rosangela de almeida</t>
  </si>
  <si>
    <t>Prevent</t>
  </si>
  <si>
    <t>Aquiles de Lemos Carvalho Ferreira</t>
  </si>
  <si>
    <t>sv saude</t>
  </si>
  <si>
    <t>Luiz Henrique Moreira Seixas (psicomotricidade)</t>
  </si>
  <si>
    <t>Cassi</t>
  </si>
  <si>
    <t>Josué Bezerra Lyrio</t>
  </si>
  <si>
    <t>Bradesco</t>
  </si>
  <si>
    <t>Investiga TDL + Transtorno Comportamenal e Emocional</t>
  </si>
  <si>
    <t>Gabriel Pereira Lima (psicomotricidade)</t>
  </si>
  <si>
    <t>Amep</t>
  </si>
  <si>
    <t>TEA</t>
  </si>
  <si>
    <t>Enzo Rodrigo Carvalho Reis</t>
  </si>
  <si>
    <t>SV Saúde</t>
  </si>
  <si>
    <t>TEA+Atraso da fala</t>
  </si>
  <si>
    <t>Erick Ferreira de Oliveira</t>
  </si>
  <si>
    <t>Gabriel Henrique Paetzoldt Gomes</t>
  </si>
  <si>
    <t>Sulamérica</t>
  </si>
  <si>
    <t>TDAH</t>
  </si>
  <si>
    <t>ficaraá mais 30 min 30/07 pelo feriado de 07/07 e 30 min dia 14/07</t>
  </si>
  <si>
    <t>Bernardo Muniz Araujo</t>
  </si>
  <si>
    <t>Leve</t>
  </si>
  <si>
    <t>Investiga TDAH</t>
  </si>
  <si>
    <t>amil guia especial</t>
  </si>
  <si>
    <t>Raphael Caetano Honorato</t>
  </si>
  <si>
    <t>Amil</t>
  </si>
  <si>
    <t>tea</t>
  </si>
  <si>
    <t>Vitor Gabriel Araujo Barbosa</t>
  </si>
  <si>
    <t>Memorial</t>
  </si>
  <si>
    <t>ficarará dia 14 de 11 as 12h para compensar feriado</t>
  </si>
  <si>
    <t xml:space="preserve">12H-13H </t>
  </si>
  <si>
    <t>almoço</t>
  </si>
  <si>
    <t>Antônio Francisco Felipe de Oliveira</t>
  </si>
  <si>
    <t>Isaac Mattos de Souza</t>
  </si>
  <si>
    <t>Enzo gabriel Leonel</t>
  </si>
  <si>
    <t>Bruce Pires de Oliveira</t>
  </si>
  <si>
    <t>caurj</t>
  </si>
  <si>
    <t>Anna VitóriaOliveira de Farias</t>
  </si>
  <si>
    <t>Thiago Ferreira de Almeida</t>
  </si>
  <si>
    <t>Assim</t>
  </si>
  <si>
    <t>Davi Raposo Page</t>
  </si>
  <si>
    <t>Alice Nicácio Rodrigues</t>
  </si>
  <si>
    <t>memorial</t>
  </si>
  <si>
    <t>Esther Coutinho Pinheiro</t>
  </si>
  <si>
    <t>reposição feriado a marcar</t>
  </si>
  <si>
    <t>Evellyn Sophia Felito da Silva</t>
  </si>
  <si>
    <t>TEA+DI Leve</t>
  </si>
  <si>
    <t>Lis Oliveira</t>
  </si>
  <si>
    <t>tdah</t>
  </si>
  <si>
    <t>Aurora Fernades Silva</t>
  </si>
  <si>
    <t>Investiga TEA + TDL</t>
  </si>
  <si>
    <t>Aurora Moura Santos</t>
  </si>
  <si>
    <t>Suri Vitória Carlos Alves</t>
  </si>
  <si>
    <t>Valentina Romeu</t>
  </si>
  <si>
    <t>Sulamerica</t>
  </si>
  <si>
    <t xml:space="preserve">Bernardo Romeu </t>
  </si>
  <si>
    <t>Bernardo de Barros santos</t>
  </si>
  <si>
    <t>Davi de Souza Santos</t>
  </si>
  <si>
    <t>TGD</t>
  </si>
  <si>
    <t>Nicolas Gabriel Souza da Silva</t>
  </si>
  <si>
    <t>DEIXAR SOZINHO - bate / morde/ chuta - mãe usa reforçador errado - pirraça (nõa é crise)</t>
  </si>
  <si>
    <t>Arthur aquino nascimento</t>
  </si>
  <si>
    <t>amil</t>
  </si>
  <si>
    <t>distúrbio desafiador e de oposição - PICA ? DSM PG 196</t>
  </si>
  <si>
    <t>José Victor Ramos Flores</t>
  </si>
  <si>
    <t>Victor Hugo Soares Luiz (psicomotricidade)</t>
  </si>
  <si>
    <t>Davi Albuquerque Porto</t>
  </si>
  <si>
    <t>Valentina Helena Hausmann Oliveira Freire</t>
  </si>
  <si>
    <t>Petrobras</t>
  </si>
  <si>
    <t>TDAH + TAG</t>
  </si>
  <si>
    <t>Rebeca Pessoa Martins de Castro</t>
  </si>
  <si>
    <t xml:space="preserve">Data: 04/08/2025 (segunda-feira) </t>
  </si>
  <si>
    <t>Profissional: Patricia Belletti</t>
  </si>
  <si>
    <t>Observações</t>
  </si>
  <si>
    <t xml:space="preserve">Otávio Fontes Freire Ferreira da Luz </t>
  </si>
  <si>
    <t>Porto</t>
  </si>
  <si>
    <t>Gilson Santos Lino</t>
  </si>
  <si>
    <t>avc</t>
  </si>
  <si>
    <t>IDOSO sozinho</t>
  </si>
  <si>
    <t>Alana andrade alves</t>
  </si>
  <si>
    <t>tdah e border</t>
  </si>
  <si>
    <t>Emanuelle Moraes de Farias</t>
  </si>
  <si>
    <t>Liz Rezende Vitorino</t>
  </si>
  <si>
    <t>SulAmérica</t>
  </si>
  <si>
    <t>1h</t>
  </si>
  <si>
    <t>Guilherme Araújo D S Santos</t>
  </si>
  <si>
    <t>particular</t>
  </si>
  <si>
    <t>Alicia Maria t. Jansen</t>
  </si>
  <si>
    <t>1h - veio de sexta</t>
  </si>
  <si>
    <t>Luiz Miguel Rodrigues Cavalcanti</t>
  </si>
  <si>
    <t>Rocco Rodrigues</t>
  </si>
  <si>
    <t>SulAmerica</t>
  </si>
  <si>
    <t xml:space="preserve">12 as 13h </t>
  </si>
  <si>
    <t>ALMOÇO</t>
  </si>
  <si>
    <t>Cecília Cavalcante Abreu</t>
  </si>
  <si>
    <t>Michelle Barcellos Theotonio Guimarães</t>
  </si>
  <si>
    <t>geap</t>
  </si>
  <si>
    <t>Ana Luisa L M Sá</t>
  </si>
  <si>
    <t>Rosane de almeida</t>
  </si>
  <si>
    <t>IDOSA</t>
  </si>
  <si>
    <t>vale</t>
  </si>
  <si>
    <t xml:space="preserve">Ana Caroline Oliveira  </t>
  </si>
  <si>
    <t>Maitê Melo dos Santos</t>
  </si>
  <si>
    <t>Joao Guilherme Silva Ferreira</t>
  </si>
  <si>
    <t>Enzo Mourao vem 15:30 pra reposição - falar com Mae Dra Michelli</t>
  </si>
  <si>
    <t>Lucas Pedroza</t>
  </si>
  <si>
    <t>prevent</t>
  </si>
  <si>
    <t>Ana Beatriz Fernandes Fonseca (TO)</t>
  </si>
  <si>
    <t>17h</t>
  </si>
  <si>
    <t>TO</t>
  </si>
  <si>
    <t>Ana Beatriz Fernandes Fonseca (PSICOMOTRICIDADE)</t>
  </si>
  <si>
    <t>PSICOMOTRICIDADE</t>
  </si>
  <si>
    <t>Daniela Carreiro de Melo (psicomotricidade)</t>
  </si>
  <si>
    <t xml:space="preserve">                                                                                                                           </t>
  </si>
  <si>
    <t>Data: 05/08/2025(terça-feira)</t>
  </si>
  <si>
    <t>Olivia Walkeer</t>
  </si>
  <si>
    <t>Bento amaro barreto de sa leite (psicomotricidade)</t>
  </si>
  <si>
    <t>trasntorno global desenvolvimento</t>
  </si>
  <si>
    <t>Breno Lee Molinaro</t>
  </si>
  <si>
    <t xml:space="preserve">3 anos </t>
  </si>
  <si>
    <t>Angelica Alves De moura costa duarte</t>
  </si>
  <si>
    <t>Mylton Gabriel Mendes</t>
  </si>
  <si>
    <t>Sv Saude</t>
  </si>
  <si>
    <t>Noah Neves</t>
  </si>
  <si>
    <t>Jean pyerre Nobre Farias</t>
  </si>
  <si>
    <t>leve</t>
  </si>
  <si>
    <t xml:space="preserve">Miguel Alves de Moraes </t>
  </si>
  <si>
    <t xml:space="preserve">Leve </t>
  </si>
  <si>
    <t>tea 2</t>
  </si>
  <si>
    <t xml:space="preserve">12h as 13h </t>
  </si>
  <si>
    <t xml:space="preserve"> 13:00</t>
  </si>
  <si>
    <t xml:space="preserve">ON LINE - TO </t>
  </si>
  <si>
    <t>Marc Honorato Montes Reis</t>
  </si>
  <si>
    <t xml:space="preserve">investigação TEA </t>
  </si>
  <si>
    <t>Lucas Anthônio Gonçalves Oliveira</t>
  </si>
  <si>
    <t>Bernardo vieira mendonça (TO)</t>
  </si>
  <si>
    <t>Joao Felipe saraiva (psicomotricidade)</t>
  </si>
  <si>
    <t>GEAP</t>
  </si>
  <si>
    <t xml:space="preserve">TEM PEDIDO DE 1H </t>
  </si>
  <si>
    <t>Pedro Valentin saraiva (psicomotricidade)</t>
  </si>
  <si>
    <t>Erik Lucas Gomes de Azevedo</t>
  </si>
  <si>
    <t>pode trabalhar em grupo. Ver se pode 15h com Bernardo Monteiro</t>
  </si>
  <si>
    <t>Bernardo Monteiro</t>
  </si>
  <si>
    <t>Joâo Miguel Mesquita Silveira (psicomotricidade)</t>
  </si>
  <si>
    <t>Gustavo Bizarrias</t>
  </si>
  <si>
    <t>Analua Fernandes</t>
  </si>
  <si>
    <t>Julia Portela Rosário</t>
  </si>
  <si>
    <t>Danielly de Oliveira da Motta</t>
  </si>
  <si>
    <t>cassi</t>
  </si>
  <si>
    <t xml:space="preserve"> </t>
  </si>
  <si>
    <t xml:space="preserve">17 anos   </t>
  </si>
  <si>
    <t>Kelvin da Silva Jesus</t>
  </si>
  <si>
    <t>15 anos</t>
  </si>
  <si>
    <t>Gustavo campos monteiro</t>
  </si>
  <si>
    <t>Davi Lucas Diniz Silva</t>
  </si>
  <si>
    <t>Data: 06/08/2025 (quarta-feira)</t>
  </si>
  <si>
    <t>Arthur Primo Matheus (psicomotricidade)</t>
  </si>
  <si>
    <t>Davi Dos Santos Batista (TO)</t>
  </si>
  <si>
    <t>1H</t>
  </si>
  <si>
    <t>Gael Fernando Diniz de Oliveira</t>
  </si>
  <si>
    <t>Samuel de Souza Nascimento</t>
  </si>
  <si>
    <t>Geap</t>
  </si>
  <si>
    <t>Simone e Harry P Gomes</t>
  </si>
  <si>
    <t>Sulamaerica</t>
  </si>
  <si>
    <t>Maria Lara da Silva Lemos</t>
  </si>
  <si>
    <t>15H</t>
  </si>
  <si>
    <t>Maria de Lourdes pelosi camara</t>
  </si>
  <si>
    <t xml:space="preserve"> 1h atendimento IDOSA</t>
  </si>
  <si>
    <t>Maria Helena de Souza Rufino</t>
  </si>
  <si>
    <t xml:space="preserve">Valentin Freitas Dias </t>
  </si>
  <si>
    <t>SV saude</t>
  </si>
  <si>
    <t>investigação TEA</t>
  </si>
  <si>
    <t xml:space="preserve">junto com Valentim </t>
  </si>
  <si>
    <t>Jose Guilhermo e Marcia (pais Jose Victor)</t>
  </si>
  <si>
    <t>Data: 08/08/2025 (sexta-feira)</t>
  </si>
  <si>
    <t>on line</t>
  </si>
  <si>
    <t>reposição on line feita</t>
  </si>
  <si>
    <t>fará reposição sábado 02/08</t>
  </si>
  <si>
    <t>marcar reposição</t>
  </si>
  <si>
    <t>vai fazer junto com emanuelle - pai quer atendimento tb</t>
  </si>
  <si>
    <t xml:space="preserve">vai ficar junto com alana quando retornar. </t>
  </si>
  <si>
    <t>começará 1h</t>
  </si>
  <si>
    <t xml:space="preserve">Angelica Alves De moura costa duarte (SA) REPOSIÇÃO </t>
  </si>
  <si>
    <t>fará reposição as 13h com cecilia</t>
  </si>
  <si>
    <t>reposiçao on line feita</t>
  </si>
  <si>
    <t>reposiçao on line  - a enviar</t>
  </si>
  <si>
    <t>Michelle Barcellos Theotonio Guimarães (geap) vem para reposção</t>
  </si>
  <si>
    <t>JUNTO COM NOAH - reposição a marcar</t>
  </si>
  <si>
    <t xml:space="preserve"> sozinho - reposição a marcar</t>
  </si>
  <si>
    <t>Anna Julia Gomes T.  Ferreira</t>
  </si>
  <si>
    <t>ver reposição</t>
  </si>
  <si>
    <t xml:space="preserve">Erika e Renan Pelosi Rei (geap) querem ficar de 13 as 14h </t>
  </si>
  <si>
    <t>Priscila Celestino (bradesco) - quer esse horário mas falta encaminhamento e passar pelo agendamento</t>
  </si>
  <si>
    <t>reposição presencial já feita</t>
  </si>
  <si>
    <t>Manuela Donegati</t>
  </si>
  <si>
    <t>sindrome do chá</t>
  </si>
  <si>
    <t xml:space="preserve">Gabriely Souto </t>
  </si>
  <si>
    <t xml:space="preserve"> amil </t>
  </si>
  <si>
    <t>Arthur Claudino</t>
  </si>
  <si>
    <t xml:space="preserve"> Murilo Oliveira</t>
  </si>
  <si>
    <t>1h de atendimento / 8:30 as 9h comigo sozinho</t>
  </si>
  <si>
    <t xml:space="preserve"> Enzo Mourao Pimentel Lopes</t>
  </si>
  <si>
    <t>porto</t>
  </si>
  <si>
    <t xml:space="preserve"> Laura carvalho vianna</t>
  </si>
  <si>
    <t>Fio Saude</t>
  </si>
  <si>
    <t xml:space="preserve">30 min </t>
  </si>
  <si>
    <t>Heitor Vieira Barbosa</t>
  </si>
  <si>
    <t>Allana Christiny</t>
  </si>
  <si>
    <t xml:space="preserve">Heitor Celestino </t>
  </si>
  <si>
    <t>Diego Oliveira</t>
  </si>
  <si>
    <t xml:space="preserve">TEA </t>
  </si>
  <si>
    <t>Adryan Da silva gomes tepedino</t>
  </si>
  <si>
    <t>Benjamin Nascimento</t>
  </si>
  <si>
    <t>Arthur Teixeira</t>
  </si>
  <si>
    <t>Heitor Celestino</t>
  </si>
  <si>
    <t>psicomo</t>
  </si>
  <si>
    <t xml:space="preserve">Joaquim de souza </t>
  </si>
  <si>
    <t xml:space="preserve">SulAmerica </t>
  </si>
  <si>
    <t>Julio cesar Costa Mendes</t>
  </si>
  <si>
    <t>TDAH / TEA</t>
  </si>
  <si>
    <t>João Pedro Sobral</t>
  </si>
  <si>
    <t xml:space="preserve">tea </t>
  </si>
  <si>
    <t>Giovanna Rocha</t>
  </si>
  <si>
    <t>petrobras</t>
  </si>
  <si>
    <t>Arthur garrido</t>
  </si>
  <si>
    <t>TEA E TDAH</t>
  </si>
  <si>
    <t>tea 1 tdah</t>
  </si>
  <si>
    <t xml:space="preserve">Data:09/08 /2025 (sábado) </t>
  </si>
  <si>
    <t>reposição já feita</t>
  </si>
  <si>
    <t>on line - estimulação cognitiva</t>
  </si>
  <si>
    <t>Bento amaro barreto de sa leite (psicomotricidade) - amil vem para reposição recesso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</si>
</sst>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sz val="16"/>
      <color rgb="FF000000"/>
      <name val="Arial"/>
      <family val="2"/>
    </font>
    <font>
      <b/>
      <sz val="14"/>
      <color rgb="FF000000"/>
      <name val="Arial"/>
      <family val="2"/>
    </font>
    <font>
      <sz val="11"/>
      <color theme="3" tint="9.9978637043366805E-2"/>
      <name val="Aptos Narrow"/>
      <family val="2"/>
      <scheme val="minor"/>
    </font>
    <font>
      <sz val="14"/>
      <color theme="3" tint="9.9978637043366805E-2"/>
      <name val="Arial"/>
      <family val="2"/>
    </font>
    <font>
      <b/>
      <sz val="11"/>
      <color theme="3" tint="9.9978637043366805E-2"/>
      <name val="Arial"/>
      <family val="2"/>
    </font>
    <font>
      <b/>
      <sz val="14"/>
      <color theme="3" tint="9.9978637043366805E-2"/>
      <name val="Arial"/>
      <family val="2"/>
    </font>
    <font>
      <sz val="11"/>
      <color theme="3" tint="9.9978637043366805E-2"/>
      <name val="Arial"/>
      <family val="2"/>
    </font>
    <font>
      <sz val="14"/>
      <color theme="4" tint="-0.499984740745262"/>
      <name val="Arial"/>
      <family val="2"/>
    </font>
    <font>
      <sz val="12"/>
      <color rgb="FF000000"/>
      <name val="Arial"/>
      <family val="2"/>
    </font>
    <font>
      <sz val="16"/>
      <color theme="1"/>
      <name val="Arial"/>
      <family val="2"/>
    </font>
    <font>
      <b/>
      <sz val="14"/>
      <name val="Arial"/>
      <family val="2"/>
    </font>
    <font>
      <b/>
      <sz val="16"/>
      <color rgb="FF000000"/>
      <name val="Arial"/>
      <family val="2"/>
    </font>
    <font>
      <b/>
      <sz val="16"/>
      <color rgb="FFFF0000"/>
      <name val="Arial"/>
      <family val="2"/>
    </font>
    <font>
      <b/>
      <sz val="16"/>
      <name val="Arial"/>
      <family val="2"/>
    </font>
    <font>
      <sz val="16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rgb="FF505050"/>
      </top>
      <bottom/>
      <diagonal/>
    </border>
    <border>
      <left/>
      <right style="thin">
        <color rgb="FF505050"/>
      </right>
      <top/>
      <bottom/>
      <diagonal/>
    </border>
    <border>
      <left/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224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20" fontId="6" fillId="2" borderId="5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20" fontId="6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/>
    <xf numFmtId="0" fontId="6" fillId="3" borderId="6" xfId="0" applyFont="1" applyFill="1" applyBorder="1" applyAlignment="1">
      <alignment horizontal="left" vertical="center" wrapText="1"/>
    </xf>
    <xf numFmtId="0" fontId="2" fillId="0" borderId="7" xfId="0" applyFont="1" applyBorder="1"/>
    <xf numFmtId="0" fontId="0" fillId="0" borderId="7" xfId="0" applyBorder="1"/>
    <xf numFmtId="0" fontId="8" fillId="4" borderId="7" xfId="0" applyFont="1" applyFill="1" applyBorder="1"/>
    <xf numFmtId="0" fontId="6" fillId="3" borderId="7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left" vertical="center" wrapText="1"/>
    </xf>
    <xf numFmtId="20" fontId="6" fillId="0" borderId="5" xfId="0" applyNumberFormat="1" applyFont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11" fillId="5" borderId="0" xfId="0" applyFont="1" applyFill="1"/>
    <xf numFmtId="20" fontId="12" fillId="5" borderId="5" xfId="0" applyNumberFormat="1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left" vertical="center" wrapText="1"/>
    </xf>
    <xf numFmtId="0" fontId="12" fillId="5" borderId="7" xfId="0" applyFont="1" applyFill="1" applyBorder="1" applyAlignment="1">
      <alignment horizontal="center" vertical="center" wrapText="1"/>
    </xf>
    <xf numFmtId="20" fontId="12" fillId="5" borderId="7" xfId="0" applyNumberFormat="1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left" vertical="center" wrapText="1"/>
    </xf>
    <xf numFmtId="0" fontId="12" fillId="5" borderId="8" xfId="0" applyFont="1" applyFill="1" applyBorder="1"/>
    <xf numFmtId="0" fontId="11" fillId="3" borderId="0" xfId="0" applyFont="1" applyFill="1"/>
    <xf numFmtId="0" fontId="13" fillId="4" borderId="7" xfId="0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/>
    </xf>
    <xf numFmtId="0" fontId="15" fillId="4" borderId="7" xfId="0" applyFont="1" applyFill="1" applyBorder="1"/>
    <xf numFmtId="0" fontId="12" fillId="3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3" borderId="8" xfId="0" applyFont="1" applyFill="1" applyBorder="1"/>
    <xf numFmtId="0" fontId="16" fillId="2" borderId="6" xfId="0" applyFont="1" applyFill="1" applyBorder="1" applyAlignment="1">
      <alignment horizontal="left" vertical="center" wrapText="1"/>
    </xf>
    <xf numFmtId="20" fontId="12" fillId="3" borderId="5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 wrapText="1"/>
    </xf>
    <xf numFmtId="20" fontId="12" fillId="3" borderId="7" xfId="0" applyNumberFormat="1" applyFont="1" applyFill="1" applyBorder="1" applyAlignment="1">
      <alignment horizontal="center" vertical="center"/>
    </xf>
    <xf numFmtId="0" fontId="0" fillId="3" borderId="0" xfId="0" applyFill="1"/>
    <xf numFmtId="20" fontId="12" fillId="3" borderId="6" xfId="0" applyNumberFormat="1" applyFont="1" applyFill="1" applyBorder="1" applyAlignment="1">
      <alignment horizontal="left" vertical="center"/>
    </xf>
    <xf numFmtId="0" fontId="7" fillId="0" borderId="7" xfId="0" applyFont="1" applyBorder="1"/>
    <xf numFmtId="0" fontId="17" fillId="3" borderId="7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left" vertical="center" wrapText="1"/>
    </xf>
    <xf numFmtId="20" fontId="9" fillId="0" borderId="7" xfId="0" applyNumberFormat="1" applyFont="1" applyBorder="1" applyAlignment="1">
      <alignment horizontal="center" vertical="center"/>
    </xf>
    <xf numFmtId="0" fontId="9" fillId="3" borderId="6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18" fillId="0" borderId="7" xfId="0" applyFont="1" applyBorder="1" applyAlignment="1">
      <alignment horizontal="left"/>
    </xf>
    <xf numFmtId="20" fontId="9" fillId="3" borderId="7" xfId="0" applyNumberFormat="1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left" vertical="center" wrapText="1"/>
    </xf>
    <xf numFmtId="0" fontId="18" fillId="3" borderId="11" xfId="0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left"/>
    </xf>
    <xf numFmtId="0" fontId="18" fillId="3" borderId="12" xfId="0" applyFont="1" applyFill="1" applyBorder="1" applyAlignment="1">
      <alignment horizontal="left" vertical="center" wrapText="1"/>
    </xf>
    <xf numFmtId="20" fontId="9" fillId="6" borderId="7" xfId="0" applyNumberFormat="1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left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/>
    </xf>
    <xf numFmtId="0" fontId="7" fillId="0" borderId="11" xfId="0" applyFont="1" applyBorder="1"/>
    <xf numFmtId="0" fontId="12" fillId="5" borderId="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20" fontId="9" fillId="3" borderId="5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 wrapText="1"/>
    </xf>
    <xf numFmtId="20" fontId="9" fillId="0" borderId="5" xfId="0" applyNumberFormat="1" applyFont="1" applyBorder="1" applyAlignment="1">
      <alignment horizontal="center" vertical="center"/>
    </xf>
    <xf numFmtId="0" fontId="9" fillId="2" borderId="6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20" fontId="9" fillId="3" borderId="5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 wrapText="1"/>
    </xf>
    <xf numFmtId="20" fontId="18" fillId="0" borderId="0" xfId="0" applyNumberFormat="1" applyFont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0" fontId="7" fillId="3" borderId="7" xfId="0" applyFont="1" applyFill="1" applyBorder="1"/>
    <xf numFmtId="0" fontId="7" fillId="3" borderId="0" xfId="0" applyFont="1" applyFill="1"/>
    <xf numFmtId="0" fontId="7" fillId="4" borderId="0" xfId="0" applyFont="1" applyFill="1"/>
    <xf numFmtId="0" fontId="7" fillId="4" borderId="7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left" vertical="center" wrapText="1"/>
    </xf>
    <xf numFmtId="0" fontId="22" fillId="3" borderId="15" xfId="0" applyFont="1" applyFill="1" applyBorder="1" applyAlignment="1">
      <alignment horizontal="left" vertical="center" wrapText="1"/>
    </xf>
    <xf numFmtId="20" fontId="9" fillId="2" borderId="5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0" xfId="0" applyFont="1"/>
    <xf numFmtId="0" fontId="7" fillId="0" borderId="0" xfId="0" applyFont="1"/>
    <xf numFmtId="0" fontId="7" fillId="0" borderId="7" xfId="0" applyFont="1" applyBorder="1" applyAlignment="1">
      <alignment horizontal="center" vertical="center"/>
    </xf>
    <xf numFmtId="0" fontId="9" fillId="6" borderId="6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left" vertical="center" wrapText="1"/>
    </xf>
    <xf numFmtId="20" fontId="18" fillId="0" borderId="7" xfId="0" applyNumberFormat="1" applyFont="1" applyBorder="1" applyAlignment="1">
      <alignment horizontal="center"/>
    </xf>
    <xf numFmtId="20" fontId="7" fillId="0" borderId="7" xfId="0" applyNumberFormat="1" applyFont="1" applyBorder="1" applyAlignment="1">
      <alignment horizontal="center"/>
    </xf>
    <xf numFmtId="16" fontId="7" fillId="3" borderId="10" xfId="0" applyNumberFormat="1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4" fillId="3" borderId="11" xfId="0" applyFont="1" applyFill="1" applyBorder="1"/>
    <xf numFmtId="0" fontId="18" fillId="0" borderId="7" xfId="0" applyFont="1" applyBorder="1"/>
    <xf numFmtId="0" fontId="4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18" fillId="6" borderId="7" xfId="0" applyFont="1" applyFill="1" applyBorder="1"/>
    <xf numFmtId="0" fontId="18" fillId="6" borderId="7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left" vertical="center" wrapText="1"/>
    </xf>
    <xf numFmtId="20" fontId="20" fillId="0" borderId="7" xfId="0" applyNumberFormat="1" applyFont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20" fontId="6" fillId="3" borderId="16" xfId="0" applyNumberFormat="1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center" vertical="center" wrapText="1"/>
    </xf>
    <xf numFmtId="20" fontId="6" fillId="3" borderId="17" xfId="0" applyNumberFormat="1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20" fontId="6" fillId="3" borderId="7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/>
    </xf>
    <xf numFmtId="0" fontId="7" fillId="7" borderId="6" xfId="0" applyFont="1" applyFill="1" applyBorder="1" applyAlignment="1">
      <alignment horizontal="left" vertical="center" wrapText="1"/>
    </xf>
    <xf numFmtId="0" fontId="24" fillId="4" borderId="7" xfId="0" applyFont="1" applyFill="1" applyBorder="1" applyAlignment="1">
      <alignment horizontal="left" vertical="center" wrapText="1"/>
    </xf>
    <xf numFmtId="0" fontId="4" fillId="8" borderId="10" xfId="0" applyFont="1" applyFill="1" applyBorder="1" applyAlignment="1">
      <alignment horizontal="left" vertical="center" wrapText="1"/>
    </xf>
    <xf numFmtId="0" fontId="22" fillId="8" borderId="7" xfId="0" applyFont="1" applyFill="1" applyBorder="1"/>
    <xf numFmtId="0" fontId="4" fillId="7" borderId="10" xfId="0" applyFont="1" applyFill="1" applyBorder="1" applyAlignment="1">
      <alignment horizontal="left" vertical="center" wrapText="1"/>
    </xf>
    <xf numFmtId="0" fontId="25" fillId="7" borderId="7" xfId="0" applyFont="1" applyFill="1" applyBorder="1"/>
    <xf numFmtId="0" fontId="22" fillId="4" borderId="10" xfId="0" applyFont="1" applyFill="1" applyBorder="1" applyAlignment="1">
      <alignment horizontal="left" vertical="center" wrapText="1"/>
    </xf>
    <xf numFmtId="0" fontId="0" fillId="0" borderId="10" xfId="0" applyBorder="1"/>
    <xf numFmtId="0" fontId="6" fillId="3" borderId="10" xfId="0" applyFont="1" applyFill="1" applyBorder="1" applyAlignment="1">
      <alignment horizontal="left" vertical="center" wrapText="1"/>
    </xf>
    <xf numFmtId="0" fontId="4" fillId="3" borderId="10" xfId="0" applyFont="1" applyFill="1" applyBorder="1"/>
    <xf numFmtId="0" fontId="22" fillId="3" borderId="11" xfId="0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left" vertical="center" wrapText="1"/>
    </xf>
    <xf numFmtId="0" fontId="6" fillId="4" borderId="18" xfId="0" applyFont="1" applyFill="1" applyBorder="1" applyAlignment="1">
      <alignment horizontal="left" vertical="center" wrapText="1"/>
    </xf>
    <xf numFmtId="0" fontId="23" fillId="3" borderId="7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18" fillId="6" borderId="6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8" fillId="3" borderId="21" xfId="0" applyFont="1" applyFill="1" applyBorder="1"/>
    <xf numFmtId="0" fontId="18" fillId="3" borderId="22" xfId="0" applyFont="1" applyFill="1" applyBorder="1"/>
    <xf numFmtId="0" fontId="9" fillId="3" borderId="16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18" fillId="3" borderId="23" xfId="0" applyFont="1" applyFill="1" applyBorder="1"/>
    <xf numFmtId="0" fontId="18" fillId="3" borderId="24" xfId="0" applyFont="1" applyFill="1" applyBorder="1"/>
    <xf numFmtId="0" fontId="18" fillId="3" borderId="24" xfId="0" applyFont="1" applyFill="1" applyBorder="1" applyAlignment="1">
      <alignment horizontal="left" vertical="top"/>
    </xf>
    <xf numFmtId="20" fontId="9" fillId="0" borderId="16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4" fillId="0" borderId="0" xfId="0" applyFont="1"/>
    <xf numFmtId="0" fontId="18" fillId="3" borderId="6" xfId="0" applyFont="1" applyFill="1" applyBorder="1" applyAlignment="1">
      <alignment horizontal="left" vertical="center" wrapText="1"/>
    </xf>
    <xf numFmtId="0" fontId="17" fillId="3" borderId="11" xfId="0" applyFont="1" applyFill="1" applyBorder="1" applyAlignment="1">
      <alignment horizontal="left" vertical="center" wrapText="1"/>
    </xf>
    <xf numFmtId="0" fontId="18" fillId="6" borderId="7" xfId="0" applyFont="1" applyFill="1" applyBorder="1" applyAlignment="1">
      <alignment vertical="center"/>
    </xf>
    <xf numFmtId="0" fontId="18" fillId="6" borderId="20" xfId="0" applyFont="1" applyFill="1" applyBorder="1" applyAlignment="1">
      <alignment vertical="center"/>
    </xf>
    <xf numFmtId="0" fontId="18" fillId="0" borderId="0" xfId="0" applyFont="1" applyAlignment="1">
      <alignment horizontal="center"/>
    </xf>
    <xf numFmtId="0" fontId="18" fillId="3" borderId="7" xfId="0" applyFont="1" applyFill="1" applyBorder="1"/>
    <xf numFmtId="0" fontId="26" fillId="0" borderId="10" xfId="0" applyFont="1" applyBorder="1" applyAlignment="1">
      <alignment horizontal="left" vertical="center" wrapText="1"/>
    </xf>
    <xf numFmtId="0" fontId="18" fillId="3" borderId="7" xfId="0" applyFont="1" applyFill="1" applyBorder="1" applyAlignment="1">
      <alignment vertical="center"/>
    </xf>
    <xf numFmtId="0" fontId="2" fillId="0" borderId="10" xfId="0" applyFont="1" applyBorder="1" applyAlignment="1">
      <alignment horizontal="left" vertical="center" wrapText="1"/>
    </xf>
    <xf numFmtId="0" fontId="24" fillId="8" borderId="1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63FC-8C91-4526-8727-97A06049BD9A}">
  <dimension ref="B1:K47"/>
  <sheetViews>
    <sheetView topLeftCell="B5" workbookViewId="0">
      <selection activeCell="D26" sqref="D26"/>
    </sheetView>
  </sheetViews>
  <sheetFormatPr defaultRowHeight="15" x14ac:dyDescent="0.25"/>
  <cols>
    <col min="2" max="2" width="21" customWidth="1"/>
    <col min="3" max="3" width="18.140625" customWidth="1"/>
    <col min="4" max="4" width="66.85546875" customWidth="1"/>
    <col min="5" max="5" width="20.7109375" customWidth="1"/>
    <col min="6" max="6" width="15.42578125" customWidth="1"/>
    <col min="7" max="7" width="15.7109375" customWidth="1"/>
    <col min="8" max="8" width="68" customWidth="1"/>
    <col min="9" max="9" width="82.28515625" customWidth="1"/>
    <col min="10" max="10" width="30.140625" customWidth="1"/>
    <col min="11" max="11" width="60.85546875" customWidth="1"/>
  </cols>
  <sheetData>
    <row r="1" spans="3:11" ht="15.75" thickBot="1" x14ac:dyDescent="0.3"/>
    <row r="2" spans="3:11" ht="23.25" x14ac:dyDescent="0.25">
      <c r="C2" s="191" t="s">
        <v>0</v>
      </c>
      <c r="D2" s="192"/>
      <c r="E2" s="193"/>
      <c r="F2" s="193"/>
      <c r="G2" s="193"/>
      <c r="H2" s="193"/>
      <c r="I2" s="193"/>
      <c r="J2" s="193"/>
      <c r="K2" s="194"/>
    </row>
    <row r="3" spans="3:11" ht="20.25" x14ac:dyDescent="0.25">
      <c r="C3" s="195" t="s">
        <v>87</v>
      </c>
      <c r="D3" s="196"/>
      <c r="E3" s="197"/>
      <c r="F3" s="197"/>
      <c r="G3" s="197"/>
      <c r="H3" s="197"/>
      <c r="I3" s="197"/>
      <c r="J3" s="197"/>
      <c r="K3" s="198"/>
    </row>
    <row r="4" spans="3:11" ht="20.25" x14ac:dyDescent="0.25">
      <c r="C4" s="195" t="s">
        <v>1</v>
      </c>
      <c r="D4" s="196"/>
      <c r="E4" s="197"/>
      <c r="F4" s="197"/>
      <c r="G4" s="197"/>
      <c r="H4" s="197"/>
      <c r="I4" s="197"/>
      <c r="J4" s="197"/>
      <c r="K4" s="198"/>
    </row>
    <row r="5" spans="3:11" ht="36" x14ac:dyDescent="0.25">
      <c r="C5" s="3" t="s">
        <v>2</v>
      </c>
      <c r="D5" s="4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6" t="s">
        <v>10</v>
      </c>
    </row>
    <row r="6" spans="3:11" ht="18" x14ac:dyDescent="0.25">
      <c r="C6" s="7">
        <v>0.33333333333333331</v>
      </c>
      <c r="D6" s="8" t="s">
        <v>11</v>
      </c>
      <c r="E6" s="9" t="s">
        <v>12</v>
      </c>
      <c r="F6" s="10">
        <v>0.33333333333333331</v>
      </c>
      <c r="G6" s="10"/>
      <c r="H6" s="9" t="s">
        <v>13</v>
      </c>
      <c r="I6" s="151" t="s">
        <v>192</v>
      </c>
      <c r="J6" s="11"/>
      <c r="K6" s="12"/>
    </row>
    <row r="7" spans="3:11" ht="18" x14ac:dyDescent="0.25">
      <c r="C7" s="7">
        <v>0.35416666666666669</v>
      </c>
      <c r="D7" s="13" t="s">
        <v>14</v>
      </c>
      <c r="E7" s="9" t="s">
        <v>12</v>
      </c>
      <c r="F7" s="14"/>
      <c r="G7" s="10"/>
      <c r="H7" s="150" t="s">
        <v>191</v>
      </c>
      <c r="I7" s="16" t="s">
        <v>15</v>
      </c>
      <c r="J7" s="11"/>
      <c r="K7" s="12"/>
    </row>
    <row r="8" spans="3:11" ht="18" x14ac:dyDescent="0.25">
      <c r="C8" s="7">
        <v>0.375</v>
      </c>
      <c r="D8" s="13" t="s">
        <v>16</v>
      </c>
      <c r="E8" s="17" t="s">
        <v>17</v>
      </c>
      <c r="F8" s="14"/>
      <c r="G8" s="10"/>
      <c r="H8" s="15"/>
      <c r="I8" s="18" t="s">
        <v>15</v>
      </c>
      <c r="J8" s="11"/>
      <c r="K8" s="12"/>
    </row>
    <row r="9" spans="3:11" ht="20.25" x14ac:dyDescent="0.25">
      <c r="C9" s="7">
        <v>0.39583333333333331</v>
      </c>
      <c r="D9" s="19" t="s">
        <v>18</v>
      </c>
      <c r="E9" s="20" t="s">
        <v>19</v>
      </c>
      <c r="F9" s="10">
        <v>0.39583333333333331</v>
      </c>
      <c r="G9" s="10"/>
      <c r="H9" s="15"/>
      <c r="I9" s="18" t="s">
        <v>15</v>
      </c>
      <c r="J9" s="11"/>
      <c r="K9" s="12"/>
    </row>
    <row r="10" spans="3:11" ht="18" x14ac:dyDescent="0.25">
      <c r="C10" s="22">
        <v>0.39583333333333331</v>
      </c>
      <c r="D10" s="8" t="s">
        <v>20</v>
      </c>
      <c r="E10" s="9" t="s">
        <v>21</v>
      </c>
      <c r="F10" s="10">
        <v>0.39583333333333331</v>
      </c>
      <c r="G10" s="10">
        <v>0.41666666666666669</v>
      </c>
      <c r="H10" s="15"/>
      <c r="I10" s="152" t="s">
        <v>15</v>
      </c>
      <c r="J10" s="11"/>
      <c r="K10" s="12"/>
    </row>
    <row r="11" spans="3:11" ht="36" x14ac:dyDescent="0.25">
      <c r="C11" s="7">
        <v>0.39583333333333331</v>
      </c>
      <c r="D11" s="8" t="s">
        <v>22</v>
      </c>
      <c r="E11" s="9" t="s">
        <v>23</v>
      </c>
      <c r="F11" s="10">
        <v>0.39583333333333331</v>
      </c>
      <c r="G11" s="10"/>
      <c r="H11" s="9" t="s">
        <v>24</v>
      </c>
      <c r="I11" s="23"/>
      <c r="J11" s="11"/>
      <c r="K11" s="12"/>
    </row>
    <row r="12" spans="3:11" ht="18" x14ac:dyDescent="0.25">
      <c r="C12" s="7">
        <v>0.39583333333333331</v>
      </c>
      <c r="D12" s="8" t="s">
        <v>25</v>
      </c>
      <c r="E12" s="9" t="s">
        <v>26</v>
      </c>
      <c r="F12" s="10">
        <v>0.39583333333333331</v>
      </c>
      <c r="G12" s="10"/>
      <c r="H12" s="9" t="s">
        <v>27</v>
      </c>
      <c r="I12" s="23"/>
      <c r="J12" s="11"/>
      <c r="K12" s="12"/>
    </row>
    <row r="13" spans="3:11" ht="18" x14ac:dyDescent="0.25">
      <c r="C13" s="22">
        <v>0.41666666666666669</v>
      </c>
      <c r="D13" s="8" t="s">
        <v>20</v>
      </c>
      <c r="E13" s="9" t="s">
        <v>21</v>
      </c>
      <c r="F13" s="10">
        <v>0.39583333333333331</v>
      </c>
      <c r="G13" s="10">
        <v>0.41666666666666669</v>
      </c>
      <c r="H13" s="9"/>
      <c r="I13" s="24"/>
      <c r="J13" s="11"/>
      <c r="K13" s="12"/>
    </row>
    <row r="14" spans="3:11" ht="18" x14ac:dyDescent="0.25">
      <c r="C14" s="7">
        <v>0.4375</v>
      </c>
      <c r="D14" s="8" t="s">
        <v>28</v>
      </c>
      <c r="E14" s="9" t="s">
        <v>29</v>
      </c>
      <c r="F14" s="10">
        <v>0.4375</v>
      </c>
      <c r="G14" s="10"/>
      <c r="H14" s="9" t="s">
        <v>30</v>
      </c>
      <c r="I14" s="151" t="s">
        <v>192</v>
      </c>
      <c r="J14" s="11"/>
      <c r="K14" s="12"/>
    </row>
    <row r="15" spans="3:11" ht="18" x14ac:dyDescent="0.25">
      <c r="C15" s="22">
        <v>0.4375</v>
      </c>
      <c r="D15" s="8" t="s">
        <v>31</v>
      </c>
      <c r="E15" s="9" t="s">
        <v>29</v>
      </c>
      <c r="F15" s="10">
        <v>0.4375</v>
      </c>
      <c r="G15" s="10"/>
      <c r="H15" s="9" t="s">
        <v>27</v>
      </c>
      <c r="I15" s="23"/>
      <c r="J15" s="11"/>
      <c r="K15" s="12"/>
    </row>
    <row r="16" spans="3:11" ht="36" x14ac:dyDescent="0.25">
      <c r="C16" s="22">
        <v>0.4375</v>
      </c>
      <c r="D16" s="8" t="s">
        <v>32</v>
      </c>
      <c r="E16" s="9" t="s">
        <v>33</v>
      </c>
      <c r="F16" s="10">
        <v>0.4375</v>
      </c>
      <c r="G16" s="10">
        <v>0.45833333333333331</v>
      </c>
      <c r="H16" s="9" t="s">
        <v>34</v>
      </c>
      <c r="I16" s="25" t="s">
        <v>35</v>
      </c>
      <c r="J16" s="11"/>
      <c r="K16" s="12"/>
    </row>
    <row r="17" spans="2:11" ht="18" x14ac:dyDescent="0.25">
      <c r="C17" s="22">
        <v>0.45833333333333331</v>
      </c>
      <c r="D17" s="8" t="s">
        <v>32</v>
      </c>
      <c r="E17" s="9" t="s">
        <v>33</v>
      </c>
      <c r="F17" s="10"/>
      <c r="G17" s="10">
        <v>0.45833333333333331</v>
      </c>
      <c r="H17" s="9"/>
      <c r="I17" s="26"/>
      <c r="J17" s="11"/>
      <c r="K17" s="12"/>
    </row>
    <row r="18" spans="2:11" ht="18" x14ac:dyDescent="0.25">
      <c r="C18" s="22">
        <v>0.45833333333333331</v>
      </c>
      <c r="D18" s="8" t="s">
        <v>36</v>
      </c>
      <c r="E18" s="9" t="s">
        <v>37</v>
      </c>
      <c r="F18" s="10">
        <v>0.45833333333333331</v>
      </c>
      <c r="G18" s="27"/>
      <c r="H18" s="9" t="s">
        <v>38</v>
      </c>
      <c r="I18" s="23"/>
      <c r="J18" s="11"/>
      <c r="K18" s="12"/>
    </row>
    <row r="19" spans="2:11" ht="18" x14ac:dyDescent="0.25">
      <c r="B19" s="28" t="s">
        <v>39</v>
      </c>
      <c r="C19" s="29">
        <v>0.45833333333333331</v>
      </c>
      <c r="D19" s="30" t="s">
        <v>40</v>
      </c>
      <c r="E19" s="31" t="s">
        <v>41</v>
      </c>
      <c r="F19" s="32">
        <v>0.45833333333333331</v>
      </c>
      <c r="G19" s="32"/>
      <c r="H19" s="31" t="s">
        <v>42</v>
      </c>
      <c r="I19" s="33"/>
      <c r="J19" s="31"/>
      <c r="K19" s="12"/>
    </row>
    <row r="20" spans="2:11" ht="18" x14ac:dyDescent="0.25">
      <c r="C20" s="22">
        <v>0.47916666666666669</v>
      </c>
      <c r="D20" s="8" t="s">
        <v>43</v>
      </c>
      <c r="E20" s="9" t="s">
        <v>44</v>
      </c>
      <c r="F20" s="10">
        <v>0.47916666666666669</v>
      </c>
      <c r="G20" s="10"/>
      <c r="H20" s="9" t="s">
        <v>27</v>
      </c>
      <c r="I20" s="25" t="s">
        <v>45</v>
      </c>
      <c r="J20" s="11"/>
      <c r="K20" s="34"/>
    </row>
    <row r="21" spans="2:11" ht="18" x14ac:dyDescent="0.25">
      <c r="B21" s="35"/>
      <c r="C21" s="36" t="s">
        <v>46</v>
      </c>
      <c r="D21" s="37" t="s">
        <v>47</v>
      </c>
      <c r="E21" s="38"/>
      <c r="F21" s="38"/>
      <c r="G21" s="38"/>
      <c r="H21" s="38"/>
      <c r="I21" s="39"/>
      <c r="J21" s="40"/>
      <c r="K21" s="12"/>
    </row>
    <row r="22" spans="2:11" ht="18" x14ac:dyDescent="0.25">
      <c r="B22" s="28" t="s">
        <v>39</v>
      </c>
      <c r="C22" s="29">
        <v>0.5625</v>
      </c>
      <c r="D22" s="30" t="s">
        <v>48</v>
      </c>
      <c r="E22" s="31" t="s">
        <v>41</v>
      </c>
      <c r="F22" s="32">
        <v>0.5625</v>
      </c>
      <c r="G22" s="32"/>
      <c r="H22" s="31" t="s">
        <v>27</v>
      </c>
      <c r="I22" s="33"/>
      <c r="J22" s="31"/>
      <c r="K22" s="41"/>
    </row>
    <row r="23" spans="2:11" ht="18" x14ac:dyDescent="0.25">
      <c r="C23" s="22">
        <v>0.5625</v>
      </c>
      <c r="D23" s="42" t="s">
        <v>49</v>
      </c>
      <c r="E23" s="9" t="s">
        <v>44</v>
      </c>
      <c r="F23" s="10">
        <v>0.5625</v>
      </c>
      <c r="G23" s="27"/>
      <c r="H23" s="9" t="s">
        <v>27</v>
      </c>
      <c r="I23" s="33"/>
      <c r="J23" s="11"/>
      <c r="K23" s="34"/>
    </row>
    <row r="24" spans="2:11" ht="18" x14ac:dyDescent="0.25">
      <c r="C24" s="43">
        <v>0.58333333333333337</v>
      </c>
      <c r="D24" s="44" t="s">
        <v>50</v>
      </c>
      <c r="E24" s="17" t="s">
        <v>19</v>
      </c>
      <c r="F24" s="45"/>
      <c r="G24" s="45"/>
      <c r="H24" s="39"/>
      <c r="I24" s="23"/>
      <c r="J24" s="11"/>
      <c r="K24" s="12"/>
    </row>
    <row r="25" spans="2:11" ht="18" x14ac:dyDescent="0.25">
      <c r="B25" s="46"/>
      <c r="C25" s="22">
        <v>0.60416666666666663</v>
      </c>
      <c r="D25" s="47" t="s">
        <v>51</v>
      </c>
      <c r="E25" s="39" t="s">
        <v>52</v>
      </c>
      <c r="F25" s="45"/>
      <c r="G25" s="45"/>
      <c r="H25" s="39" t="s">
        <v>34</v>
      </c>
      <c r="I25" s="23"/>
      <c r="J25" s="11"/>
      <c r="K25" s="12"/>
    </row>
    <row r="26" spans="2:11" ht="18" x14ac:dyDescent="0.25">
      <c r="B26" s="46"/>
      <c r="C26" s="22">
        <v>0.60416666666666663</v>
      </c>
      <c r="D26" s="8" t="s">
        <v>53</v>
      </c>
      <c r="E26" s="9" t="s">
        <v>12</v>
      </c>
      <c r="F26" s="10">
        <v>0.58333333333333337</v>
      </c>
      <c r="G26" s="10">
        <v>0.60416666666666663</v>
      </c>
      <c r="H26" s="9" t="s">
        <v>27</v>
      </c>
      <c r="I26" s="23"/>
      <c r="J26" s="11"/>
      <c r="K26" s="12"/>
    </row>
    <row r="27" spans="2:11" ht="18" x14ac:dyDescent="0.25">
      <c r="C27" s="22">
        <v>0.60416666666666663</v>
      </c>
      <c r="D27" s="8" t="s">
        <v>54</v>
      </c>
      <c r="E27" s="9" t="s">
        <v>55</v>
      </c>
      <c r="F27" s="10">
        <v>0.60416666666666663</v>
      </c>
      <c r="G27" s="10"/>
      <c r="H27" s="9" t="s">
        <v>27</v>
      </c>
      <c r="I27" s="23"/>
      <c r="J27" s="11"/>
      <c r="K27" s="12"/>
    </row>
    <row r="28" spans="2:11" ht="18" x14ac:dyDescent="0.25">
      <c r="C28" s="22">
        <v>0.60416666666666663</v>
      </c>
      <c r="D28" s="8" t="s">
        <v>53</v>
      </c>
      <c r="E28" s="9" t="s">
        <v>12</v>
      </c>
      <c r="F28" s="10">
        <v>0.58333333333333337</v>
      </c>
      <c r="G28" s="10">
        <v>0.60416666666666663</v>
      </c>
      <c r="H28" s="9" t="s">
        <v>27</v>
      </c>
      <c r="I28" s="151" t="s">
        <v>192</v>
      </c>
      <c r="J28" s="11"/>
      <c r="K28" s="12"/>
    </row>
    <row r="29" spans="2:11" ht="18" x14ac:dyDescent="0.25">
      <c r="C29" s="22">
        <v>0.625</v>
      </c>
      <c r="D29" s="8" t="s">
        <v>56</v>
      </c>
      <c r="E29" s="9" t="s">
        <v>44</v>
      </c>
      <c r="F29" s="10">
        <v>0.625</v>
      </c>
      <c r="G29" s="27"/>
      <c r="H29" s="9" t="s">
        <v>27</v>
      </c>
      <c r="I29" s="23"/>
      <c r="J29" s="11"/>
      <c r="K29" s="48"/>
    </row>
    <row r="30" spans="2:11" ht="20.25" x14ac:dyDescent="0.25">
      <c r="C30" s="43">
        <v>0.625</v>
      </c>
      <c r="D30" s="13" t="s">
        <v>57</v>
      </c>
      <c r="E30" s="17" t="s">
        <v>58</v>
      </c>
      <c r="F30" s="10">
        <v>0.625</v>
      </c>
      <c r="G30" s="49"/>
      <c r="H30" s="50" t="s">
        <v>42</v>
      </c>
      <c r="I30" s="51"/>
      <c r="J30" s="52"/>
      <c r="K30" s="48"/>
    </row>
    <row r="31" spans="2:11" ht="20.25" x14ac:dyDescent="0.25">
      <c r="C31" s="22">
        <v>0.64583333333333337</v>
      </c>
      <c r="D31" s="8" t="s">
        <v>59</v>
      </c>
      <c r="E31" s="9" t="s">
        <v>26</v>
      </c>
      <c r="F31" s="10">
        <v>0.64583333333333337</v>
      </c>
      <c r="G31" s="27"/>
      <c r="H31" s="9" t="s">
        <v>27</v>
      </c>
      <c r="I31" s="53" t="s">
        <v>60</v>
      </c>
      <c r="J31" s="11"/>
      <c r="K31" s="54"/>
    </row>
    <row r="32" spans="2:11" ht="18" x14ac:dyDescent="0.25">
      <c r="B32" s="35"/>
      <c r="C32" s="22">
        <v>0.64583333333333337</v>
      </c>
      <c r="D32" s="8" t="s">
        <v>61</v>
      </c>
      <c r="E32" s="9" t="s">
        <v>44</v>
      </c>
      <c r="F32" s="10">
        <v>0.64583333333333337</v>
      </c>
      <c r="G32" s="10"/>
      <c r="H32" s="9" t="s">
        <v>62</v>
      </c>
      <c r="I32" s="53" t="s">
        <v>60</v>
      </c>
      <c r="J32" s="11"/>
      <c r="K32" s="48"/>
    </row>
    <row r="33" spans="2:11" ht="20.25" x14ac:dyDescent="0.25">
      <c r="C33" s="22">
        <v>0.66666666666666663</v>
      </c>
      <c r="D33" s="55" t="s">
        <v>63</v>
      </c>
      <c r="E33" s="50" t="s">
        <v>37</v>
      </c>
      <c r="F33" s="10">
        <v>0.66666666666666663</v>
      </c>
      <c r="G33" s="10">
        <v>0.6875</v>
      </c>
      <c r="H33" s="9" t="s">
        <v>64</v>
      </c>
      <c r="I33" s="151" t="s">
        <v>193</v>
      </c>
      <c r="J33" s="11"/>
      <c r="K33" s="48"/>
    </row>
    <row r="34" spans="2:11" ht="18" x14ac:dyDescent="0.25">
      <c r="C34" s="22">
        <v>0.66666666666666663</v>
      </c>
      <c r="D34" s="8" t="s">
        <v>65</v>
      </c>
      <c r="E34" s="9" t="s">
        <v>37</v>
      </c>
      <c r="F34" s="10">
        <v>0.66666666666666663</v>
      </c>
      <c r="G34" s="10"/>
      <c r="H34" s="9" t="s">
        <v>66</v>
      </c>
      <c r="I34" s="56"/>
      <c r="J34" s="11"/>
      <c r="K34" s="12"/>
    </row>
    <row r="35" spans="2:11" ht="18" x14ac:dyDescent="0.25">
      <c r="C35" s="29">
        <v>0.66666666666666663</v>
      </c>
      <c r="D35" s="30" t="s">
        <v>67</v>
      </c>
      <c r="E35" s="31" t="s">
        <v>41</v>
      </c>
      <c r="F35" s="32">
        <v>0.66666666666666663</v>
      </c>
      <c r="G35" s="32"/>
      <c r="H35" s="31" t="s">
        <v>27</v>
      </c>
      <c r="I35" s="33"/>
      <c r="J35" s="31"/>
      <c r="K35" s="12"/>
    </row>
    <row r="36" spans="2:11" ht="18" x14ac:dyDescent="0.25">
      <c r="C36" s="22">
        <v>0.66666666666666663</v>
      </c>
      <c r="D36" s="8" t="s">
        <v>68</v>
      </c>
      <c r="E36" s="9" t="s">
        <v>44</v>
      </c>
      <c r="F36" s="10">
        <v>0.66666666666666663</v>
      </c>
      <c r="G36" s="10"/>
      <c r="H36" s="9" t="s">
        <v>27</v>
      </c>
      <c r="I36" s="24"/>
      <c r="J36" s="11"/>
      <c r="K36" s="34"/>
    </row>
    <row r="37" spans="2:11" ht="20.25" x14ac:dyDescent="0.3">
      <c r="B37" s="35"/>
      <c r="C37" s="43">
        <v>0.6875</v>
      </c>
      <c r="D37" s="57" t="s">
        <v>69</v>
      </c>
      <c r="E37" s="52" t="s">
        <v>70</v>
      </c>
      <c r="F37" s="58"/>
      <c r="G37" s="58"/>
      <c r="H37" s="52"/>
      <c r="I37" s="59"/>
      <c r="J37" s="60"/>
      <c r="K37" s="34"/>
    </row>
    <row r="38" spans="2:11" ht="20.25" x14ac:dyDescent="0.3">
      <c r="C38" s="43">
        <v>0.6875</v>
      </c>
      <c r="D38" s="61" t="s">
        <v>71</v>
      </c>
      <c r="E38" s="20" t="s">
        <v>70</v>
      </c>
      <c r="F38" s="58"/>
      <c r="G38" s="58"/>
      <c r="H38" s="52"/>
      <c r="I38" s="59"/>
      <c r="J38" s="60"/>
      <c r="K38" s="62"/>
    </row>
    <row r="39" spans="2:11" ht="20.25" x14ac:dyDescent="0.25">
      <c r="C39" s="22">
        <v>0.70833333333333337</v>
      </c>
      <c r="D39" s="8" t="s">
        <v>72</v>
      </c>
      <c r="E39" s="9" t="s">
        <v>33</v>
      </c>
      <c r="F39" s="10">
        <v>0.70833333333333337</v>
      </c>
      <c r="G39" s="10">
        <v>0.72916666666666663</v>
      </c>
      <c r="H39" s="9"/>
      <c r="I39" s="23"/>
      <c r="J39" s="11"/>
      <c r="K39" s="62"/>
    </row>
    <row r="40" spans="2:11" ht="18" x14ac:dyDescent="0.25">
      <c r="C40" s="22">
        <v>0.70833333333333337</v>
      </c>
      <c r="D40" s="8" t="s">
        <v>73</v>
      </c>
      <c r="E40" s="9" t="s">
        <v>33</v>
      </c>
      <c r="F40" s="10">
        <v>0.70833333333333337</v>
      </c>
      <c r="G40" s="10"/>
      <c r="H40" s="9" t="s">
        <v>74</v>
      </c>
      <c r="I40" s="23"/>
      <c r="J40" s="11"/>
      <c r="K40" s="12"/>
    </row>
    <row r="41" spans="2:11" ht="36" x14ac:dyDescent="0.25">
      <c r="C41" s="22">
        <v>0.72916666666666663</v>
      </c>
      <c r="D41" s="8" t="s">
        <v>75</v>
      </c>
      <c r="E41" s="9" t="s">
        <v>44</v>
      </c>
      <c r="F41" s="10">
        <v>0.72916666666666663</v>
      </c>
      <c r="G41" s="27"/>
      <c r="H41" s="9" t="s">
        <v>27</v>
      </c>
      <c r="I41" s="24" t="s">
        <v>76</v>
      </c>
      <c r="J41" s="11"/>
      <c r="K41" s="12"/>
    </row>
    <row r="42" spans="2:11" ht="20.25" x14ac:dyDescent="0.25">
      <c r="C42" s="63">
        <v>0.75</v>
      </c>
      <c r="D42" s="64" t="s">
        <v>77</v>
      </c>
      <c r="E42" s="65" t="s">
        <v>78</v>
      </c>
      <c r="F42" s="10"/>
      <c r="G42" s="10"/>
      <c r="H42" s="66" t="s">
        <v>64</v>
      </c>
      <c r="I42" s="67"/>
      <c r="J42" s="68" t="s">
        <v>79</v>
      </c>
      <c r="K42" s="12"/>
    </row>
    <row r="43" spans="2:11" ht="20.25" x14ac:dyDescent="0.25">
      <c r="C43" s="58">
        <v>0.75</v>
      </c>
      <c r="D43" s="13" t="s">
        <v>80</v>
      </c>
      <c r="E43" s="17" t="s">
        <v>70</v>
      </c>
      <c r="F43" s="10"/>
      <c r="G43" s="10"/>
      <c r="H43" s="66"/>
      <c r="I43" s="67"/>
      <c r="J43" s="68"/>
      <c r="K43" s="69"/>
    </row>
    <row r="44" spans="2:11" ht="18" x14ac:dyDescent="0.25">
      <c r="C44" s="22">
        <v>0.75</v>
      </c>
      <c r="D44" s="8" t="s">
        <v>81</v>
      </c>
      <c r="E44" s="9" t="s">
        <v>41</v>
      </c>
      <c r="F44" s="10">
        <v>0.75</v>
      </c>
      <c r="G44" s="27"/>
      <c r="H44" s="9" t="s">
        <v>34</v>
      </c>
      <c r="I44" s="151" t="s">
        <v>192</v>
      </c>
      <c r="J44" s="11"/>
      <c r="K44" s="26"/>
    </row>
    <row r="45" spans="2:11" ht="18" x14ac:dyDescent="0.25">
      <c r="C45" s="29">
        <v>0.75</v>
      </c>
      <c r="D45" s="30" t="s">
        <v>82</v>
      </c>
      <c r="E45" s="31" t="s">
        <v>41</v>
      </c>
      <c r="F45" s="32">
        <v>0.75</v>
      </c>
      <c r="G45" s="70"/>
      <c r="H45" s="31" t="s">
        <v>27</v>
      </c>
      <c r="I45" s="151" t="s">
        <v>192</v>
      </c>
      <c r="J45" s="31"/>
      <c r="K45" s="12"/>
    </row>
    <row r="46" spans="2:11" ht="18" x14ac:dyDescent="0.25">
      <c r="C46" s="22">
        <v>0.77083333333333337</v>
      </c>
      <c r="D46" s="8" t="s">
        <v>83</v>
      </c>
      <c r="E46" s="9" t="s">
        <v>84</v>
      </c>
      <c r="F46" s="10">
        <v>0.77083333333333337</v>
      </c>
      <c r="G46" s="27"/>
      <c r="H46" s="9" t="s">
        <v>85</v>
      </c>
      <c r="I46" s="151" t="s">
        <v>192</v>
      </c>
      <c r="J46" s="11"/>
      <c r="K46" s="12"/>
    </row>
    <row r="47" spans="2:11" ht="18" x14ac:dyDescent="0.25">
      <c r="C47" s="22">
        <v>0.77083333333333337</v>
      </c>
      <c r="D47" s="8" t="s">
        <v>86</v>
      </c>
      <c r="E47" s="9" t="s">
        <v>37</v>
      </c>
      <c r="F47" s="10">
        <v>0.77083333333333337</v>
      </c>
      <c r="G47" s="27"/>
      <c r="H47" s="9" t="s">
        <v>27</v>
      </c>
      <c r="I47" s="56"/>
      <c r="J47" s="11"/>
      <c r="K47" s="34"/>
    </row>
  </sheetData>
  <mergeCells count="3">
    <mergeCell ref="C2:K2"/>
    <mergeCell ref="C3:K3"/>
    <mergeCell ref="C4:K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5CB7-49C2-469C-B15B-ABA31FF8A843}">
  <dimension ref="B2:J32"/>
  <sheetViews>
    <sheetView tabSelected="1" workbookViewId="0">
      <selection activeCell="I27" sqref="I27"/>
    </sheetView>
  </sheetViews>
  <sheetFormatPr defaultRowHeight="15" x14ac:dyDescent="0.25"/>
  <cols>
    <col min="2" max="2" width="20.85546875" customWidth="1"/>
    <col min="3" max="3" width="52.42578125" customWidth="1"/>
    <col min="4" max="4" width="20.7109375" customWidth="1"/>
    <col min="5" max="6" width="15.7109375" customWidth="1"/>
    <col min="7" max="7" width="20.7109375" customWidth="1"/>
    <col min="8" max="8" width="53.85546875" customWidth="1"/>
    <col min="9" max="9" width="32.85546875" customWidth="1"/>
    <col min="10" max="10" width="15.7109375" customWidth="1"/>
  </cols>
  <sheetData>
    <row r="2" spans="2:10" ht="15.75" thickBot="1" x14ac:dyDescent="0.3"/>
    <row r="3" spans="2:10" ht="20.25" x14ac:dyDescent="0.25">
      <c r="B3" s="202" t="s">
        <v>0</v>
      </c>
      <c r="C3" s="203"/>
      <c r="D3" s="204"/>
      <c r="E3" s="204"/>
      <c r="F3" s="204"/>
      <c r="G3" s="204"/>
      <c r="H3" s="204"/>
      <c r="I3" s="204"/>
      <c r="J3" s="205"/>
    </row>
    <row r="4" spans="2:10" ht="20.25" x14ac:dyDescent="0.25">
      <c r="B4" s="195" t="s">
        <v>130</v>
      </c>
      <c r="C4" s="196"/>
      <c r="D4" s="197"/>
      <c r="E4" s="197"/>
      <c r="F4" s="197"/>
      <c r="G4" s="197"/>
      <c r="H4" s="197"/>
      <c r="I4" s="197"/>
      <c r="J4" s="198"/>
    </row>
    <row r="5" spans="2:10" ht="20.25" x14ac:dyDescent="0.25">
      <c r="B5" s="195" t="s">
        <v>88</v>
      </c>
      <c r="C5" s="196"/>
      <c r="D5" s="197"/>
      <c r="E5" s="197"/>
      <c r="F5" s="197"/>
      <c r="G5" s="197"/>
      <c r="H5" s="197"/>
      <c r="I5" s="197"/>
      <c r="J5" s="198"/>
    </row>
    <row r="6" spans="2:10" ht="40.5" x14ac:dyDescent="0.25">
      <c r="B6" s="73" t="s">
        <v>2</v>
      </c>
      <c r="C6" s="1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06" t="s">
        <v>89</v>
      </c>
      <c r="I6" s="207"/>
      <c r="J6" s="208"/>
    </row>
    <row r="7" spans="2:10" ht="20.25" x14ac:dyDescent="0.25">
      <c r="B7" s="77">
        <v>0.33333333333333331</v>
      </c>
      <c r="C7" s="55"/>
      <c r="D7" s="52"/>
      <c r="E7" s="58"/>
      <c r="F7" s="58"/>
      <c r="G7" s="52"/>
      <c r="H7" s="209"/>
      <c r="I7" s="210"/>
      <c r="J7" s="211"/>
    </row>
    <row r="8" spans="2:10" ht="20.25" x14ac:dyDescent="0.25">
      <c r="B8" s="81">
        <v>0.35416666666666669</v>
      </c>
      <c r="C8" s="82" t="s">
        <v>90</v>
      </c>
      <c r="D8" s="52" t="s">
        <v>91</v>
      </c>
      <c r="E8" s="54">
        <v>0.35416666666666669</v>
      </c>
      <c r="F8" s="54"/>
      <c r="G8" s="83" t="s">
        <v>42</v>
      </c>
      <c r="H8" s="199" t="s">
        <v>194</v>
      </c>
      <c r="I8" s="200"/>
      <c r="J8" s="201"/>
    </row>
    <row r="9" spans="2:10" ht="20.25" x14ac:dyDescent="0.25">
      <c r="B9" s="87">
        <v>0.375</v>
      </c>
      <c r="C9" s="55" t="s">
        <v>92</v>
      </c>
      <c r="D9" s="52" t="s">
        <v>23</v>
      </c>
      <c r="E9" s="58">
        <v>0.375</v>
      </c>
      <c r="F9" s="88"/>
      <c r="G9" s="52" t="s">
        <v>93</v>
      </c>
      <c r="H9" s="78" t="s">
        <v>94</v>
      </c>
      <c r="I9" s="79"/>
      <c r="J9" s="62"/>
    </row>
    <row r="10" spans="2:10" ht="40.5" x14ac:dyDescent="0.25">
      <c r="B10" s="87">
        <v>0.39583333333333331</v>
      </c>
      <c r="C10" s="55" t="s">
        <v>95</v>
      </c>
      <c r="D10" s="52" t="s">
        <v>41</v>
      </c>
      <c r="E10" s="58"/>
      <c r="F10" s="88"/>
      <c r="G10" s="52" t="s">
        <v>96</v>
      </c>
      <c r="H10" s="153" t="s">
        <v>195</v>
      </c>
      <c r="I10" s="79"/>
      <c r="J10" s="62"/>
    </row>
    <row r="11" spans="2:10" ht="40.5" x14ac:dyDescent="0.25">
      <c r="B11" s="87">
        <v>0.39583333333333331</v>
      </c>
      <c r="C11" s="89" t="s">
        <v>97</v>
      </c>
      <c r="D11" s="90" t="s">
        <v>41</v>
      </c>
      <c r="E11" s="58">
        <v>0.4375</v>
      </c>
      <c r="F11" s="88"/>
      <c r="G11" s="52"/>
      <c r="H11" s="153" t="s">
        <v>196</v>
      </c>
      <c r="I11" s="79"/>
      <c r="J11" s="62"/>
    </row>
    <row r="12" spans="2:10" ht="20.25" x14ac:dyDescent="0.25">
      <c r="B12" s="87">
        <v>0.41666666666666669</v>
      </c>
      <c r="C12" s="82" t="s">
        <v>98</v>
      </c>
      <c r="D12" s="52" t="s">
        <v>99</v>
      </c>
      <c r="E12" s="54"/>
      <c r="F12" s="54"/>
      <c r="G12" s="83"/>
      <c r="H12" s="84"/>
      <c r="I12" s="79"/>
      <c r="J12" s="62"/>
    </row>
    <row r="13" spans="2:10" ht="20.25" x14ac:dyDescent="0.25">
      <c r="B13" s="81">
        <v>0.4375</v>
      </c>
      <c r="E13" s="58"/>
      <c r="F13" s="58"/>
      <c r="G13" s="52"/>
      <c r="H13" s="59" t="s">
        <v>100</v>
      </c>
      <c r="I13" s="85"/>
      <c r="J13" s="91"/>
    </row>
    <row r="14" spans="2:10" ht="20.25" x14ac:dyDescent="0.25">
      <c r="B14" s="87">
        <v>0.45833333333333331</v>
      </c>
      <c r="C14" s="55" t="s">
        <v>101</v>
      </c>
      <c r="D14" s="52" t="s">
        <v>102</v>
      </c>
      <c r="E14" s="58">
        <v>0.45833333333333331</v>
      </c>
      <c r="F14" s="58"/>
      <c r="G14" s="52" t="s">
        <v>42</v>
      </c>
      <c r="H14" s="59"/>
      <c r="I14" s="79"/>
      <c r="J14" s="62"/>
    </row>
    <row r="15" spans="2:10" ht="20.25" x14ac:dyDescent="0.3">
      <c r="B15" s="54">
        <v>0.45833333333333331</v>
      </c>
      <c r="C15" s="19" t="s">
        <v>103</v>
      </c>
      <c r="D15" s="52" t="s">
        <v>37</v>
      </c>
      <c r="E15" s="92">
        <v>0.45833333333333331</v>
      </c>
      <c r="F15" s="58">
        <v>0.47916666666666669</v>
      </c>
      <c r="G15" s="52"/>
      <c r="H15" s="59" t="s">
        <v>104</v>
      </c>
      <c r="I15" s="79"/>
      <c r="J15" s="62"/>
    </row>
    <row r="16" spans="2:10" ht="20.25" x14ac:dyDescent="0.25">
      <c r="B16" s="87">
        <v>0.45833333333333331</v>
      </c>
      <c r="C16" s="55" t="s">
        <v>105</v>
      </c>
      <c r="D16" s="52" t="s">
        <v>58</v>
      </c>
      <c r="E16" s="58">
        <v>0.45833333333333331</v>
      </c>
      <c r="F16" s="58"/>
      <c r="G16" s="52" t="s">
        <v>42</v>
      </c>
      <c r="H16" s="59"/>
      <c r="I16" s="79"/>
      <c r="J16" s="62"/>
    </row>
    <row r="17" spans="2:10" ht="20.25" x14ac:dyDescent="0.25">
      <c r="B17" s="87">
        <v>0.45833333333333331</v>
      </c>
      <c r="C17" s="55" t="s">
        <v>28</v>
      </c>
      <c r="D17" s="52" t="s">
        <v>19</v>
      </c>
      <c r="E17" s="54">
        <v>0.45833333333333331</v>
      </c>
      <c r="F17" s="93"/>
      <c r="G17" s="83"/>
      <c r="H17" s="84"/>
      <c r="I17" s="79"/>
      <c r="J17" s="62"/>
    </row>
    <row r="18" spans="2:10" ht="20.25" x14ac:dyDescent="0.25">
      <c r="B18" s="87">
        <v>0.47916666666666669</v>
      </c>
      <c r="C18" s="19" t="s">
        <v>103</v>
      </c>
      <c r="D18" s="52" t="s">
        <v>37</v>
      </c>
      <c r="E18" s="54"/>
      <c r="F18" s="93"/>
      <c r="G18" s="83"/>
      <c r="H18" s="84"/>
      <c r="I18" s="79"/>
      <c r="J18" s="62"/>
    </row>
    <row r="19" spans="2:10" ht="20.25" x14ac:dyDescent="0.25">
      <c r="B19" s="87">
        <v>0.47916666666666669</v>
      </c>
      <c r="C19" s="94" t="s">
        <v>106</v>
      </c>
      <c r="D19" s="52" t="s">
        <v>107</v>
      </c>
      <c r="E19" s="54"/>
      <c r="F19" s="93"/>
      <c r="G19" s="83"/>
      <c r="H19" s="153" t="s">
        <v>197</v>
      </c>
      <c r="I19" s="79"/>
      <c r="J19" s="62"/>
    </row>
    <row r="20" spans="2:10" ht="20.25" x14ac:dyDescent="0.25">
      <c r="B20" s="87" t="s">
        <v>108</v>
      </c>
      <c r="C20" s="96" t="s">
        <v>109</v>
      </c>
      <c r="D20" s="52"/>
      <c r="E20" s="58"/>
      <c r="F20" s="88"/>
      <c r="G20" s="52"/>
      <c r="H20" s="78"/>
      <c r="I20" s="97"/>
      <c r="J20" s="91"/>
    </row>
    <row r="21" spans="2:10" ht="20.25" x14ac:dyDescent="0.25">
      <c r="B21" s="87">
        <v>0.54166666666666663</v>
      </c>
      <c r="C21" s="55" t="s">
        <v>110</v>
      </c>
      <c r="D21" s="52" t="s">
        <v>99</v>
      </c>
      <c r="E21" s="58">
        <v>0.5625</v>
      </c>
      <c r="F21" s="88"/>
      <c r="G21" s="52" t="s">
        <v>42</v>
      </c>
      <c r="H21" s="78"/>
      <c r="I21" s="60"/>
      <c r="J21" s="62"/>
    </row>
    <row r="22" spans="2:10" ht="20.25" x14ac:dyDescent="0.25">
      <c r="B22" s="87">
        <v>0.5625</v>
      </c>
      <c r="C22" s="98" t="s">
        <v>111</v>
      </c>
      <c r="D22" s="99" t="s">
        <v>112</v>
      </c>
      <c r="E22" s="58"/>
      <c r="F22" s="88"/>
      <c r="G22" s="52"/>
      <c r="H22" s="100" t="s">
        <v>198</v>
      </c>
      <c r="I22" s="101"/>
      <c r="J22" s="62"/>
    </row>
    <row r="23" spans="2:10" ht="20.25" x14ac:dyDescent="0.25">
      <c r="B23" s="87">
        <v>0.58333333333333337</v>
      </c>
      <c r="C23" s="55" t="s">
        <v>113</v>
      </c>
      <c r="D23" s="52" t="s">
        <v>37</v>
      </c>
      <c r="E23" s="58"/>
      <c r="F23" s="88"/>
      <c r="G23" s="52"/>
      <c r="H23" s="153" t="s">
        <v>199</v>
      </c>
      <c r="I23" s="60"/>
      <c r="J23" s="62"/>
    </row>
    <row r="24" spans="2:10" ht="20.25" x14ac:dyDescent="0.25">
      <c r="B24" s="87">
        <v>0.60416666666666663</v>
      </c>
      <c r="C24" s="55" t="s">
        <v>114</v>
      </c>
      <c r="D24" s="52" t="s">
        <v>17</v>
      </c>
      <c r="E24" s="58"/>
      <c r="F24" s="88"/>
      <c r="G24" s="52"/>
      <c r="H24" s="59" t="s">
        <v>115</v>
      </c>
      <c r="I24" s="60"/>
      <c r="J24" s="62"/>
    </row>
    <row r="25" spans="2:10" ht="20.25" x14ac:dyDescent="0.3">
      <c r="B25" s="87">
        <v>0.625</v>
      </c>
      <c r="C25" s="59" t="s">
        <v>117</v>
      </c>
      <c r="D25" s="52" t="s">
        <v>37</v>
      </c>
      <c r="E25" s="58"/>
      <c r="F25" s="88"/>
      <c r="G25" s="52"/>
      <c r="H25" s="154" t="s">
        <v>200</v>
      </c>
      <c r="I25" s="60"/>
      <c r="J25" s="62"/>
    </row>
    <row r="26" spans="2:10" ht="60.75" x14ac:dyDescent="0.25">
      <c r="B26" s="87">
        <v>0.64583333333333337</v>
      </c>
      <c r="C26" s="55" t="s">
        <v>118</v>
      </c>
      <c r="D26" s="52" t="s">
        <v>99</v>
      </c>
      <c r="E26" s="58">
        <v>0.64583333333333337</v>
      </c>
      <c r="F26" s="58">
        <v>0.66666666666666663</v>
      </c>
      <c r="G26" s="52" t="s">
        <v>42</v>
      </c>
      <c r="H26" s="153" t="s">
        <v>246</v>
      </c>
      <c r="I26" s="60"/>
      <c r="J26" s="62"/>
    </row>
    <row r="27" spans="2:10" ht="60.75" x14ac:dyDescent="0.25">
      <c r="B27" s="87">
        <v>0.64583333333333337</v>
      </c>
      <c r="C27" s="55" t="s">
        <v>119</v>
      </c>
      <c r="D27" s="52" t="s">
        <v>58</v>
      </c>
      <c r="E27" s="58">
        <v>0.64583333333333337</v>
      </c>
      <c r="F27" s="58"/>
      <c r="G27" s="52" t="s">
        <v>42</v>
      </c>
      <c r="H27" s="153" t="s">
        <v>120</v>
      </c>
      <c r="I27" s="60"/>
      <c r="J27" s="62"/>
    </row>
    <row r="28" spans="2:10" ht="20.25" x14ac:dyDescent="0.25">
      <c r="B28" s="87">
        <v>0.66666666666666663</v>
      </c>
      <c r="C28" s="64" t="s">
        <v>77</v>
      </c>
      <c r="D28" s="65" t="s">
        <v>78</v>
      </c>
      <c r="F28" s="88"/>
      <c r="G28" s="52"/>
      <c r="H28" s="95" t="s">
        <v>194</v>
      </c>
      <c r="I28" s="60"/>
      <c r="J28" s="62"/>
    </row>
    <row r="29" spans="2:10" ht="20.25" x14ac:dyDescent="0.25">
      <c r="B29" s="87">
        <v>0.6875</v>
      </c>
      <c r="C29" s="55" t="s">
        <v>121</v>
      </c>
      <c r="D29" s="52" t="s">
        <v>122</v>
      </c>
      <c r="E29" s="58"/>
      <c r="F29" s="58"/>
      <c r="G29" s="52"/>
      <c r="H29" s="102"/>
      <c r="I29" s="60"/>
      <c r="J29" s="62"/>
    </row>
    <row r="30" spans="2:10" ht="40.5" x14ac:dyDescent="0.25">
      <c r="B30" s="87">
        <v>0.70833333333333337</v>
      </c>
      <c r="C30" s="55" t="s">
        <v>123</v>
      </c>
      <c r="D30" s="52" t="s">
        <v>23</v>
      </c>
      <c r="E30" s="58" t="s">
        <v>124</v>
      </c>
      <c r="F30" s="58"/>
      <c r="G30" s="52" t="s">
        <v>42</v>
      </c>
      <c r="H30" s="103" t="s">
        <v>125</v>
      </c>
      <c r="I30" s="60"/>
      <c r="J30" s="62"/>
    </row>
    <row r="31" spans="2:10" ht="40.5" x14ac:dyDescent="0.25">
      <c r="B31" s="87">
        <v>0.72916666666666663</v>
      </c>
      <c r="C31" s="55" t="s">
        <v>126</v>
      </c>
      <c r="D31" s="52" t="s">
        <v>23</v>
      </c>
      <c r="E31" s="58">
        <v>0.72916666666666663</v>
      </c>
      <c r="F31" s="88"/>
      <c r="G31" s="52" t="s">
        <v>42</v>
      </c>
      <c r="H31" s="78" t="s">
        <v>127</v>
      </c>
      <c r="I31" s="60"/>
      <c r="J31" s="62"/>
    </row>
    <row r="32" spans="2:10" ht="40.5" x14ac:dyDescent="0.25">
      <c r="B32" s="87">
        <v>0.75</v>
      </c>
      <c r="C32" s="55" t="s">
        <v>128</v>
      </c>
      <c r="D32" s="52" t="s">
        <v>41</v>
      </c>
      <c r="E32" s="58">
        <v>0.75</v>
      </c>
      <c r="F32" s="88"/>
      <c r="G32" s="52" t="s">
        <v>129</v>
      </c>
      <c r="H32" s="155" t="s">
        <v>201</v>
      </c>
      <c r="I32" s="60"/>
      <c r="J32" s="62"/>
    </row>
  </sheetData>
  <mergeCells count="6">
    <mergeCell ref="H8:J8"/>
    <mergeCell ref="B3:J3"/>
    <mergeCell ref="B4:J4"/>
    <mergeCell ref="B5:J5"/>
    <mergeCell ref="H6:J6"/>
    <mergeCell ref="H7:J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E656-79B7-4EB0-8048-A858C74E1687}">
  <dimension ref="B1:J44"/>
  <sheetViews>
    <sheetView topLeftCell="A8" workbookViewId="0">
      <selection activeCell="C9" sqref="C9"/>
    </sheetView>
  </sheetViews>
  <sheetFormatPr defaultRowHeight="15" x14ac:dyDescent="0.25"/>
  <cols>
    <col min="2" max="2" width="18.140625" customWidth="1"/>
    <col min="3" max="3" width="66.85546875" customWidth="1"/>
    <col min="4" max="4" width="20.7109375" customWidth="1"/>
    <col min="5" max="6" width="15.7109375" customWidth="1"/>
    <col min="7" max="7" width="62.42578125" customWidth="1"/>
    <col min="8" max="8" width="103.28515625" customWidth="1"/>
    <col min="9" max="9" width="32.85546875" customWidth="1"/>
    <col min="10" max="10" width="61.42578125" customWidth="1"/>
  </cols>
  <sheetData>
    <row r="1" spans="2:10" ht="15.75" thickBot="1" x14ac:dyDescent="0.3"/>
    <row r="2" spans="2:10" ht="20.25" x14ac:dyDescent="0.25">
      <c r="B2" s="202" t="s">
        <v>0</v>
      </c>
      <c r="C2" s="203"/>
      <c r="D2" s="204"/>
      <c r="E2" s="204"/>
      <c r="F2" s="204"/>
      <c r="G2" s="204"/>
      <c r="H2" s="204"/>
      <c r="I2" s="204"/>
      <c r="J2" s="205"/>
    </row>
    <row r="3" spans="2:10" ht="20.25" x14ac:dyDescent="0.25">
      <c r="B3" s="195" t="s">
        <v>171</v>
      </c>
      <c r="C3" s="196"/>
      <c r="D3" s="197"/>
      <c r="E3" s="197"/>
      <c r="F3" s="197"/>
      <c r="G3" s="197"/>
      <c r="H3" s="197"/>
      <c r="I3" s="197"/>
      <c r="J3" s="198"/>
    </row>
    <row r="4" spans="2:10" ht="20.25" x14ac:dyDescent="0.25">
      <c r="B4" s="195" t="s">
        <v>88</v>
      </c>
      <c r="C4" s="196"/>
      <c r="D4" s="197"/>
      <c r="E4" s="197"/>
      <c r="F4" s="197"/>
      <c r="G4" s="197"/>
      <c r="H4" s="197"/>
      <c r="I4" s="197"/>
      <c r="J4" s="198"/>
    </row>
    <row r="5" spans="2:10" ht="60.75" x14ac:dyDescent="0.25">
      <c r="B5" s="73" t="s">
        <v>2</v>
      </c>
      <c r="C5" s="1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06" t="s">
        <v>89</v>
      </c>
      <c r="I5" s="207"/>
      <c r="J5" s="208"/>
    </row>
    <row r="6" spans="2:10" ht="20.25" x14ac:dyDescent="0.25">
      <c r="B6" s="104">
        <v>0.33333333333333331</v>
      </c>
      <c r="C6" s="105"/>
      <c r="D6" s="83"/>
      <c r="E6" s="54"/>
      <c r="F6" s="54"/>
      <c r="G6" s="83"/>
      <c r="H6" s="215"/>
      <c r="I6" s="216"/>
      <c r="J6" s="217"/>
    </row>
    <row r="7" spans="2:10" ht="20.25" x14ac:dyDescent="0.25">
      <c r="B7" s="81">
        <v>0.35416666666666669</v>
      </c>
      <c r="C7" s="108" t="s">
        <v>136</v>
      </c>
      <c r="D7" s="109" t="s">
        <v>107</v>
      </c>
      <c r="E7" s="54"/>
      <c r="F7" s="54"/>
      <c r="G7" s="83"/>
      <c r="H7" s="212"/>
      <c r="I7" s="213"/>
      <c r="J7" s="214"/>
    </row>
    <row r="8" spans="2:10" ht="20.25" x14ac:dyDescent="0.3">
      <c r="B8" s="81">
        <v>0.375</v>
      </c>
      <c r="C8" s="82" t="s">
        <v>131</v>
      </c>
      <c r="D8" s="52" t="s">
        <v>23</v>
      </c>
      <c r="E8" s="54">
        <v>0.375</v>
      </c>
      <c r="F8" s="107"/>
      <c r="G8" s="83"/>
      <c r="H8" s="84"/>
      <c r="I8" s="85"/>
      <c r="J8" s="86"/>
    </row>
    <row r="9" spans="2:10" ht="40.5" x14ac:dyDescent="0.25">
      <c r="B9" s="81">
        <v>0.39583333333333331</v>
      </c>
      <c r="C9" s="55" t="s">
        <v>132</v>
      </c>
      <c r="D9" s="52" t="s">
        <v>78</v>
      </c>
      <c r="E9" s="54"/>
      <c r="F9" s="88"/>
      <c r="G9" s="52" t="s">
        <v>133</v>
      </c>
      <c r="H9" s="78"/>
      <c r="I9" s="85"/>
      <c r="J9" s="86"/>
    </row>
    <row r="10" spans="2:10" ht="20.25" x14ac:dyDescent="0.25">
      <c r="B10" s="87">
        <v>0.39583333333333331</v>
      </c>
      <c r="C10" s="82" t="s">
        <v>134</v>
      </c>
      <c r="D10" s="52" t="s">
        <v>17</v>
      </c>
      <c r="E10" s="54">
        <v>0.41666666666666669</v>
      </c>
      <c r="F10" s="54"/>
      <c r="G10" s="83"/>
      <c r="H10" s="84" t="s">
        <v>135</v>
      </c>
      <c r="I10" s="79"/>
      <c r="J10" s="80"/>
    </row>
    <row r="11" spans="2:10" ht="20.25" x14ac:dyDescent="0.25">
      <c r="B11" s="87">
        <v>0.41666666666666669</v>
      </c>
      <c r="C11" s="108" t="s">
        <v>136</v>
      </c>
      <c r="D11" s="109" t="s">
        <v>107</v>
      </c>
      <c r="E11" s="15"/>
      <c r="F11" s="15"/>
      <c r="H11" s="156" t="s">
        <v>202</v>
      </c>
      <c r="I11" s="97"/>
      <c r="J11" s="91"/>
    </row>
    <row r="12" spans="2:10" ht="20.25" x14ac:dyDescent="0.25">
      <c r="B12" s="81">
        <v>0.4375</v>
      </c>
      <c r="C12" s="82" t="s">
        <v>137</v>
      </c>
      <c r="D12" s="52" t="s">
        <v>138</v>
      </c>
      <c r="E12" s="54">
        <v>0.4375</v>
      </c>
      <c r="F12" s="54"/>
      <c r="G12" s="83" t="s">
        <v>42</v>
      </c>
      <c r="H12" s="84"/>
    </row>
    <row r="13" spans="2:10" ht="20.25" x14ac:dyDescent="0.25">
      <c r="B13" s="81">
        <v>0.45833333333333331</v>
      </c>
      <c r="C13" s="110" t="s">
        <v>139</v>
      </c>
      <c r="D13" s="111" t="s">
        <v>78</v>
      </c>
      <c r="E13" s="58"/>
      <c r="F13" s="58"/>
      <c r="G13" s="52" t="s">
        <v>42</v>
      </c>
      <c r="H13" s="95" t="s">
        <v>15</v>
      </c>
      <c r="I13" s="85"/>
      <c r="J13" s="86"/>
    </row>
    <row r="14" spans="2:10" ht="20.25" x14ac:dyDescent="0.25">
      <c r="B14" s="81">
        <v>0.45833333333333331</v>
      </c>
      <c r="C14" s="55" t="s">
        <v>140</v>
      </c>
      <c r="D14" s="52" t="s">
        <v>141</v>
      </c>
      <c r="E14" s="58"/>
      <c r="F14" s="88"/>
      <c r="G14" s="52"/>
      <c r="H14" s="95" t="s">
        <v>203</v>
      </c>
      <c r="I14" s="79"/>
      <c r="J14" s="80"/>
    </row>
    <row r="15" spans="2:10" ht="20.25" x14ac:dyDescent="0.25">
      <c r="B15" s="87">
        <v>0.47916666666666669</v>
      </c>
      <c r="C15" s="55" t="s">
        <v>142</v>
      </c>
      <c r="D15" s="52" t="s">
        <v>143</v>
      </c>
      <c r="E15" s="54">
        <v>0.47916666666666669</v>
      </c>
      <c r="F15" s="93"/>
      <c r="G15" s="83" t="s">
        <v>144</v>
      </c>
      <c r="H15" s="95" t="s">
        <v>204</v>
      </c>
      <c r="I15" s="79"/>
      <c r="J15" s="80"/>
    </row>
    <row r="16" spans="2:10" ht="20.25" x14ac:dyDescent="0.25">
      <c r="B16" s="87" t="s">
        <v>145</v>
      </c>
      <c r="C16" s="112" t="s">
        <v>109</v>
      </c>
      <c r="D16" s="52"/>
      <c r="E16" s="54"/>
      <c r="F16" s="93"/>
      <c r="G16" s="83"/>
      <c r="H16" s="84"/>
      <c r="I16" s="97"/>
      <c r="J16" s="91"/>
    </row>
    <row r="17" spans="2:10" ht="20.25" x14ac:dyDescent="0.25">
      <c r="B17" s="87" t="s">
        <v>146</v>
      </c>
      <c r="C17" s="55" t="s">
        <v>69</v>
      </c>
      <c r="D17" s="52" t="s">
        <v>107</v>
      </c>
      <c r="E17" s="58"/>
      <c r="F17" s="88"/>
      <c r="G17" s="52"/>
      <c r="H17" s="113" t="s">
        <v>147</v>
      </c>
      <c r="I17" s="97"/>
      <c r="J17" s="91"/>
    </row>
    <row r="18" spans="2:10" ht="20.25" x14ac:dyDescent="0.25">
      <c r="B18" s="58">
        <v>0.5625</v>
      </c>
      <c r="C18" s="55" t="s">
        <v>148</v>
      </c>
      <c r="D18" s="52" t="s">
        <v>107</v>
      </c>
      <c r="E18" s="58"/>
      <c r="F18" s="88"/>
      <c r="G18" s="52" t="s">
        <v>149</v>
      </c>
      <c r="H18" s="157" t="s">
        <v>15</v>
      </c>
      <c r="I18" s="97"/>
      <c r="J18" s="91"/>
    </row>
    <row r="19" spans="2:10" ht="20.25" x14ac:dyDescent="0.25">
      <c r="B19" s="58">
        <v>0.5625</v>
      </c>
      <c r="C19" s="82" t="s">
        <v>150</v>
      </c>
      <c r="D19" s="52" t="s">
        <v>58</v>
      </c>
      <c r="E19" s="54">
        <v>0.5625</v>
      </c>
      <c r="F19" s="93"/>
      <c r="G19" s="83" t="s">
        <v>42</v>
      </c>
      <c r="H19" s="106"/>
      <c r="I19" s="60"/>
      <c r="J19" s="62"/>
    </row>
    <row r="20" spans="2:10" ht="20.25" x14ac:dyDescent="0.25">
      <c r="B20" s="54">
        <v>0.58333333333333337</v>
      </c>
      <c r="C20" s="89" t="s">
        <v>151</v>
      </c>
      <c r="D20" s="111" t="s">
        <v>78</v>
      </c>
      <c r="E20" s="54">
        <v>0.58333333333333337</v>
      </c>
      <c r="F20" s="93"/>
      <c r="G20" s="83" t="s">
        <v>42</v>
      </c>
      <c r="H20" s="106"/>
      <c r="I20" s="97"/>
      <c r="J20" s="91"/>
    </row>
    <row r="21" spans="2:10" ht="20.25" x14ac:dyDescent="0.3">
      <c r="B21" s="114">
        <v>0.60416666666666663</v>
      </c>
      <c r="C21" s="55" t="s">
        <v>152</v>
      </c>
      <c r="D21" s="52" t="s">
        <v>153</v>
      </c>
      <c r="E21" s="58">
        <v>0.60416666666666663</v>
      </c>
      <c r="F21" s="58"/>
      <c r="G21" s="52">
        <v>7</v>
      </c>
      <c r="H21" s="78" t="s">
        <v>154</v>
      </c>
      <c r="I21" s="97"/>
      <c r="J21" s="91"/>
    </row>
    <row r="22" spans="2:10" ht="20.25" x14ac:dyDescent="0.25">
      <c r="B22" s="87">
        <v>0.60416666666666663</v>
      </c>
      <c r="C22" s="55" t="s">
        <v>155</v>
      </c>
      <c r="D22" s="52" t="s">
        <v>153</v>
      </c>
      <c r="E22" s="58">
        <v>0.60416666666666663</v>
      </c>
      <c r="F22" s="58"/>
      <c r="G22" s="52"/>
      <c r="H22" s="78"/>
      <c r="I22" s="60"/>
      <c r="J22" s="62"/>
    </row>
    <row r="23" spans="2:10" ht="20.25" x14ac:dyDescent="0.25">
      <c r="B23" s="87">
        <v>0.60416666666666663</v>
      </c>
      <c r="C23" s="55" t="s">
        <v>156</v>
      </c>
      <c r="D23" s="52" t="s">
        <v>58</v>
      </c>
      <c r="E23" s="58">
        <v>0.60416666666666663</v>
      </c>
      <c r="F23" s="88"/>
      <c r="G23" s="52" t="s">
        <v>42</v>
      </c>
      <c r="H23" s="78" t="s">
        <v>157</v>
      </c>
      <c r="I23" s="60"/>
      <c r="J23" s="62"/>
    </row>
    <row r="24" spans="2:10" ht="20.25" x14ac:dyDescent="0.25">
      <c r="B24" s="87">
        <v>0.60416666666666663</v>
      </c>
      <c r="C24" s="55" t="s">
        <v>158</v>
      </c>
      <c r="D24" s="52" t="s">
        <v>58</v>
      </c>
      <c r="E24" s="58">
        <v>0.60416666666666663</v>
      </c>
      <c r="F24" s="58">
        <v>0.625</v>
      </c>
      <c r="G24" s="52"/>
      <c r="H24" s="78"/>
      <c r="I24" s="60"/>
      <c r="J24" s="62"/>
    </row>
    <row r="25" spans="2:10" ht="40.5" x14ac:dyDescent="0.25">
      <c r="B25" s="87">
        <v>0.60416666666666663</v>
      </c>
      <c r="C25" s="89" t="s">
        <v>159</v>
      </c>
      <c r="D25" s="111" t="s">
        <v>78</v>
      </c>
      <c r="E25" s="54">
        <v>0.64583333333333337</v>
      </c>
      <c r="F25" s="54"/>
      <c r="G25" s="83" t="s">
        <v>42</v>
      </c>
      <c r="H25" s="59"/>
      <c r="I25" s="79"/>
      <c r="J25" s="62"/>
    </row>
    <row r="26" spans="2:10" ht="20.25" x14ac:dyDescent="0.25">
      <c r="B26" s="87">
        <v>0.625</v>
      </c>
      <c r="C26" s="55" t="s">
        <v>69</v>
      </c>
      <c r="D26" s="52" t="s">
        <v>70</v>
      </c>
      <c r="E26" s="58"/>
      <c r="F26" s="54"/>
      <c r="G26" s="83"/>
      <c r="H26" s="60"/>
      <c r="I26" s="79"/>
      <c r="J26" s="62"/>
    </row>
    <row r="27" spans="2:10" ht="20.25" x14ac:dyDescent="0.3">
      <c r="B27" s="43">
        <v>0.625</v>
      </c>
      <c r="C27" s="61" t="s">
        <v>71</v>
      </c>
      <c r="D27" s="20" t="s">
        <v>70</v>
      </c>
      <c r="E27" s="58"/>
      <c r="F27" s="54"/>
      <c r="G27" s="83"/>
      <c r="H27" s="60"/>
      <c r="I27" s="79"/>
      <c r="J27" s="62"/>
    </row>
    <row r="28" spans="2:10" ht="20.25" x14ac:dyDescent="0.25">
      <c r="B28" s="87">
        <v>0.64583333333333337</v>
      </c>
      <c r="C28" s="55" t="s">
        <v>69</v>
      </c>
      <c r="D28" s="52" t="s">
        <v>70</v>
      </c>
      <c r="E28" s="58"/>
      <c r="F28" s="54"/>
      <c r="G28" s="15"/>
      <c r="H28" s="13"/>
      <c r="I28" s="79"/>
      <c r="J28" s="62"/>
    </row>
    <row r="29" spans="2:10" ht="20.25" x14ac:dyDescent="0.3">
      <c r="B29" s="87">
        <v>0.64583333333333337</v>
      </c>
      <c r="C29" s="61" t="s">
        <v>71</v>
      </c>
      <c r="D29" s="20" t="s">
        <v>70</v>
      </c>
      <c r="E29" s="58"/>
      <c r="F29" s="54"/>
      <c r="G29" s="15"/>
      <c r="H29" s="13"/>
      <c r="I29" s="79"/>
      <c r="J29" s="62"/>
    </row>
    <row r="30" spans="2:10" ht="20.25" x14ac:dyDescent="0.25">
      <c r="B30" s="87">
        <v>0.66666666666666663</v>
      </c>
      <c r="C30" s="55" t="s">
        <v>160</v>
      </c>
      <c r="D30" s="52" t="s">
        <v>23</v>
      </c>
      <c r="E30" s="58"/>
      <c r="F30" s="58"/>
      <c r="G30" s="15"/>
      <c r="H30" s="55"/>
      <c r="I30" s="97"/>
      <c r="J30" s="91"/>
    </row>
    <row r="31" spans="2:10" ht="20.25" x14ac:dyDescent="0.25">
      <c r="B31" s="115">
        <v>0.6875</v>
      </c>
      <c r="C31" s="55" t="s">
        <v>205</v>
      </c>
      <c r="D31" s="52" t="s">
        <v>116</v>
      </c>
      <c r="E31" s="58">
        <v>0.6875</v>
      </c>
      <c r="F31" s="58">
        <v>0.70833333333333337</v>
      </c>
      <c r="G31" s="158"/>
      <c r="H31" s="55"/>
      <c r="I31" s="97"/>
      <c r="J31" s="91"/>
    </row>
    <row r="32" spans="2:10" ht="20.25" x14ac:dyDescent="0.25">
      <c r="B32" s="115">
        <v>0.6875</v>
      </c>
      <c r="C32" s="44" t="s">
        <v>161</v>
      </c>
      <c r="D32" s="17" t="s">
        <v>91</v>
      </c>
      <c r="E32" s="10"/>
      <c r="F32" s="27"/>
      <c r="G32" s="159"/>
      <c r="H32" s="55"/>
      <c r="I32" s="97"/>
      <c r="J32" s="91"/>
    </row>
    <row r="33" spans="2:10" ht="20.25" x14ac:dyDescent="0.25">
      <c r="B33" s="87">
        <v>0.6875</v>
      </c>
      <c r="C33" s="44" t="s">
        <v>162</v>
      </c>
      <c r="D33" s="17" t="s">
        <v>107</v>
      </c>
      <c r="E33" s="10"/>
      <c r="F33" s="27"/>
      <c r="H33" s="159"/>
      <c r="I33" s="60"/>
      <c r="J33" s="62"/>
    </row>
    <row r="34" spans="2:10" ht="20.25" x14ac:dyDescent="0.25">
      <c r="B34" s="87">
        <v>0.6875</v>
      </c>
      <c r="C34" s="8" t="s">
        <v>163</v>
      </c>
      <c r="D34" s="17" t="s">
        <v>164</v>
      </c>
      <c r="E34" s="10"/>
      <c r="F34" s="27"/>
      <c r="G34" s="66" t="s">
        <v>165</v>
      </c>
      <c r="H34" s="116"/>
      <c r="I34" s="117"/>
      <c r="J34" s="26"/>
    </row>
    <row r="35" spans="2:10" ht="20.25" x14ac:dyDescent="0.25">
      <c r="B35" s="87">
        <v>0.6875</v>
      </c>
      <c r="C35" s="55" t="s">
        <v>161</v>
      </c>
      <c r="D35" s="52" t="s">
        <v>91</v>
      </c>
      <c r="E35" s="58"/>
      <c r="F35" s="58"/>
      <c r="G35" s="52"/>
      <c r="H35" s="116"/>
      <c r="I35" s="117"/>
      <c r="J35" s="26"/>
    </row>
    <row r="36" spans="2:10" ht="20.25" x14ac:dyDescent="0.25">
      <c r="B36" s="115">
        <v>0.6875</v>
      </c>
      <c r="C36" s="55" t="s">
        <v>205</v>
      </c>
      <c r="D36" s="52" t="s">
        <v>116</v>
      </c>
      <c r="E36" s="58">
        <v>0.6875</v>
      </c>
      <c r="F36" s="58">
        <v>0.70833333333333337</v>
      </c>
      <c r="G36" s="52" t="s">
        <v>42</v>
      </c>
      <c r="H36" s="116"/>
      <c r="I36" s="117"/>
      <c r="J36" s="118"/>
    </row>
    <row r="37" spans="2:10" ht="20.25" x14ac:dyDescent="0.25">
      <c r="B37" s="87">
        <v>0.70833333333333337</v>
      </c>
      <c r="C37" s="55" t="s">
        <v>162</v>
      </c>
      <c r="D37" s="52" t="s">
        <v>107</v>
      </c>
      <c r="E37" s="58"/>
      <c r="F37" s="88"/>
      <c r="G37" s="52" t="s">
        <v>42</v>
      </c>
      <c r="H37" s="78"/>
      <c r="I37" s="117"/>
      <c r="J37" s="118"/>
    </row>
    <row r="38" spans="2:10" ht="20.25" x14ac:dyDescent="0.25">
      <c r="B38" s="87">
        <v>0.70833333333333337</v>
      </c>
      <c r="C38" s="55" t="s">
        <v>163</v>
      </c>
      <c r="D38" s="52" t="s">
        <v>21</v>
      </c>
      <c r="E38" s="58"/>
      <c r="F38" s="88"/>
      <c r="G38" s="52" t="s">
        <v>42</v>
      </c>
      <c r="H38" s="78" t="s">
        <v>166</v>
      </c>
      <c r="I38" s="60"/>
      <c r="J38" s="62"/>
    </row>
    <row r="39" spans="2:10" ht="20.25" x14ac:dyDescent="0.25">
      <c r="B39" s="87">
        <v>0.72916666666666663</v>
      </c>
      <c r="C39" s="55" t="s">
        <v>167</v>
      </c>
      <c r="D39" s="52" t="s">
        <v>138</v>
      </c>
      <c r="E39" s="58">
        <v>0.72916666666666663</v>
      </c>
      <c r="F39" s="88"/>
      <c r="G39" s="52" t="s">
        <v>42</v>
      </c>
      <c r="H39" s="78" t="s">
        <v>168</v>
      </c>
      <c r="I39" s="60"/>
      <c r="J39" s="62"/>
    </row>
    <row r="40" spans="2:10" ht="20.25" x14ac:dyDescent="0.25">
      <c r="B40" s="87">
        <v>0.75</v>
      </c>
      <c r="C40" s="82" t="s">
        <v>169</v>
      </c>
      <c r="D40" s="52" t="s">
        <v>37</v>
      </c>
      <c r="E40" s="54">
        <v>0.75</v>
      </c>
      <c r="F40" s="54">
        <v>0.77083333333333337</v>
      </c>
      <c r="G40" s="162" t="s">
        <v>206</v>
      </c>
      <c r="H40" s="79"/>
      <c r="I40" s="60"/>
      <c r="J40" s="62"/>
    </row>
    <row r="41" spans="2:10" ht="20.25" x14ac:dyDescent="0.3">
      <c r="B41" s="81">
        <v>0.75</v>
      </c>
      <c r="C41" s="82" t="s">
        <v>170</v>
      </c>
      <c r="D41" s="52" t="s">
        <v>141</v>
      </c>
      <c r="E41" s="54">
        <v>0.75</v>
      </c>
      <c r="F41" s="54">
        <v>0.77083333333333337</v>
      </c>
      <c r="G41" s="162" t="s">
        <v>206</v>
      </c>
      <c r="H41" s="160" cm="1">
        <f t="array" aca="1" ref="H41" ca="1">H41:J42</f>
        <v>0</v>
      </c>
      <c r="I41" s="119"/>
      <c r="J41" s="62"/>
    </row>
    <row r="42" spans="2:10" ht="20.25" x14ac:dyDescent="0.25">
      <c r="B42" s="81">
        <v>0.77083333333333337</v>
      </c>
      <c r="C42" s="55" t="s">
        <v>169</v>
      </c>
      <c r="D42" s="52" t="s">
        <v>37</v>
      </c>
      <c r="E42" s="58"/>
      <c r="F42" s="88"/>
      <c r="G42" s="52"/>
      <c r="H42" s="78"/>
      <c r="I42" s="161"/>
      <c r="J42" s="62"/>
    </row>
    <row r="43" spans="2:10" ht="20.25" x14ac:dyDescent="0.25">
      <c r="B43" s="87">
        <v>0.77083333333333337</v>
      </c>
      <c r="C43" s="55" t="s">
        <v>170</v>
      </c>
      <c r="D43" s="52" t="s">
        <v>37</v>
      </c>
      <c r="E43" s="58"/>
      <c r="F43" s="88"/>
      <c r="G43" s="52"/>
      <c r="H43" s="59"/>
      <c r="I43" s="97"/>
      <c r="J43" s="91" cm="1">
        <f t="array" aca="1" ref="J43" ca="1">H41:J42+J43</f>
        <v>0</v>
      </c>
    </row>
    <row r="44" spans="2:10" ht="20.25" x14ac:dyDescent="0.25">
      <c r="H44" s="59"/>
      <c r="I44" s="60"/>
      <c r="J44" s="91"/>
    </row>
  </sheetData>
  <mergeCells count="6">
    <mergeCell ref="H7:J7"/>
    <mergeCell ref="B2:J2"/>
    <mergeCell ref="B3:J3"/>
    <mergeCell ref="B4:J4"/>
    <mergeCell ref="H5:J5"/>
    <mergeCell ref="H6:J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C39DF-F2F0-41B6-BC52-1C8735D5DAB8}">
  <dimension ref="B3:J27"/>
  <sheetViews>
    <sheetView workbookViewId="0">
      <selection activeCell="D22" sqref="D22"/>
    </sheetView>
  </sheetViews>
  <sheetFormatPr defaultRowHeight="15" x14ac:dyDescent="0.25"/>
  <cols>
    <col min="2" max="2" width="22.28515625" customWidth="1"/>
    <col min="3" max="3" width="52.42578125" customWidth="1"/>
    <col min="4" max="4" width="20.7109375" customWidth="1"/>
    <col min="5" max="5" width="15.42578125" customWidth="1"/>
    <col min="6" max="6" width="15.7109375" customWidth="1"/>
    <col min="7" max="7" width="49" customWidth="1"/>
    <col min="8" max="8" width="82.28515625" customWidth="1"/>
    <col min="9" max="9" width="30.140625" customWidth="1"/>
    <col min="10" max="10" width="60.85546875" customWidth="1"/>
  </cols>
  <sheetData>
    <row r="3" spans="2:10" ht="20.25" x14ac:dyDescent="0.3">
      <c r="B3" s="120"/>
      <c r="C3" s="120"/>
      <c r="D3" s="120"/>
      <c r="E3" s="120"/>
      <c r="F3" s="120"/>
      <c r="G3" s="120"/>
      <c r="H3" s="120"/>
      <c r="I3" s="120"/>
      <c r="J3" s="120"/>
    </row>
    <row r="4" spans="2:10" ht="20.25" x14ac:dyDescent="0.25">
      <c r="B4" s="197" t="s">
        <v>0</v>
      </c>
      <c r="C4" s="197"/>
      <c r="D4" s="197"/>
      <c r="E4" s="197"/>
      <c r="F4" s="197"/>
      <c r="G4" s="197"/>
      <c r="H4" s="197"/>
      <c r="I4" s="197"/>
      <c r="J4" s="197"/>
    </row>
    <row r="5" spans="2:10" ht="20.25" x14ac:dyDescent="0.25">
      <c r="B5" s="197" t="s">
        <v>190</v>
      </c>
      <c r="C5" s="197"/>
      <c r="D5" s="197"/>
      <c r="E5" s="197"/>
      <c r="F5" s="197"/>
      <c r="G5" s="197"/>
      <c r="H5" s="197"/>
      <c r="I5" s="197"/>
      <c r="J5" s="197"/>
    </row>
    <row r="6" spans="2:10" ht="20.25" x14ac:dyDescent="0.25">
      <c r="B6" s="197" t="s">
        <v>88</v>
      </c>
      <c r="C6" s="197"/>
      <c r="D6" s="197"/>
      <c r="E6" s="197"/>
      <c r="F6" s="197"/>
      <c r="G6" s="197"/>
      <c r="H6" s="220"/>
      <c r="I6" s="220"/>
      <c r="J6" s="220"/>
    </row>
    <row r="7" spans="2:10" ht="40.5" x14ac:dyDescent="0.25">
      <c r="B7" s="121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74" t="s">
        <v>7</v>
      </c>
      <c r="H7" s="197" t="s">
        <v>89</v>
      </c>
      <c r="I7" s="197"/>
      <c r="J7" s="197"/>
    </row>
    <row r="8" spans="2:10" ht="20.25" x14ac:dyDescent="0.25">
      <c r="B8" s="54">
        <v>0.33333333333333298</v>
      </c>
      <c r="C8" s="94" t="s">
        <v>172</v>
      </c>
      <c r="D8" s="52" t="s">
        <v>164</v>
      </c>
      <c r="E8" s="54"/>
      <c r="F8" s="93"/>
      <c r="G8" s="122"/>
      <c r="H8" s="221"/>
      <c r="I8" s="221"/>
      <c r="J8" s="221"/>
    </row>
    <row r="9" spans="2:10" ht="20.25" x14ac:dyDescent="0.25">
      <c r="B9" s="54">
        <v>0.375</v>
      </c>
      <c r="C9" s="94" t="s">
        <v>173</v>
      </c>
      <c r="D9" s="52" t="s">
        <v>19</v>
      </c>
      <c r="E9" s="54"/>
      <c r="F9" s="93"/>
      <c r="G9" s="167" t="s">
        <v>15</v>
      </c>
      <c r="H9" s="123" t="s">
        <v>174</v>
      </c>
      <c r="I9" s="123"/>
      <c r="J9" s="123"/>
    </row>
    <row r="10" spans="2:10" ht="20.25" x14ac:dyDescent="0.25">
      <c r="B10" s="54">
        <v>0.39583333333333298</v>
      </c>
      <c r="C10" s="94" t="s">
        <v>173</v>
      </c>
      <c r="D10" s="52" t="s">
        <v>19</v>
      </c>
      <c r="E10" s="54"/>
      <c r="F10" s="93"/>
      <c r="G10" s="167" t="s">
        <v>15</v>
      </c>
      <c r="H10" s="123"/>
      <c r="I10" s="123"/>
      <c r="J10" s="123"/>
    </row>
    <row r="11" spans="2:10" ht="20.25" x14ac:dyDescent="0.3">
      <c r="B11" s="54">
        <v>0.41666666666666669</v>
      </c>
      <c r="C11" s="124" t="s">
        <v>175</v>
      </c>
      <c r="D11" s="125" t="s">
        <v>78</v>
      </c>
      <c r="E11" s="54"/>
      <c r="F11" s="54"/>
      <c r="G11" s="167" t="s">
        <v>15</v>
      </c>
      <c r="H11" s="222"/>
      <c r="I11" s="222"/>
      <c r="J11" s="222"/>
    </row>
    <row r="12" spans="2:10" ht="20.25" x14ac:dyDescent="0.25">
      <c r="B12" s="54">
        <v>0.4375</v>
      </c>
      <c r="C12" s="19" t="s">
        <v>172</v>
      </c>
      <c r="D12" s="52" t="s">
        <v>164</v>
      </c>
      <c r="E12" s="54"/>
      <c r="F12" s="54"/>
      <c r="G12" s="122"/>
      <c r="H12" s="126"/>
      <c r="I12" s="126"/>
      <c r="J12" s="126"/>
    </row>
    <row r="13" spans="2:10" ht="20.25" x14ac:dyDescent="0.25">
      <c r="B13" s="54">
        <v>0.4375</v>
      </c>
      <c r="C13" s="94" t="s">
        <v>176</v>
      </c>
      <c r="D13" s="52" t="s">
        <v>78</v>
      </c>
      <c r="E13" s="54"/>
      <c r="F13" s="93"/>
      <c r="G13" s="122" t="s">
        <v>64</v>
      </c>
      <c r="H13" s="221"/>
      <c r="I13" s="221"/>
      <c r="J13" s="221"/>
    </row>
    <row r="14" spans="2:10" ht="21" x14ac:dyDescent="0.35">
      <c r="B14" s="54">
        <v>0.47916666666666669</v>
      </c>
      <c r="C14" s="98"/>
      <c r="D14" s="164"/>
      <c r="E14" s="54"/>
      <c r="F14" s="93"/>
      <c r="G14" s="122"/>
      <c r="H14" s="123"/>
      <c r="I14" s="123"/>
      <c r="J14" s="123"/>
    </row>
    <row r="15" spans="2:10" ht="20.25" x14ac:dyDescent="0.25">
      <c r="B15" s="127" t="s">
        <v>145</v>
      </c>
      <c r="C15" s="128" t="s">
        <v>109</v>
      </c>
      <c r="D15" s="129"/>
      <c r="E15" s="127"/>
      <c r="F15" s="130"/>
      <c r="G15" s="131"/>
      <c r="H15" s="218"/>
      <c r="I15" s="218"/>
      <c r="J15" s="218"/>
    </row>
    <row r="16" spans="2:10" ht="38.25" customHeight="1" x14ac:dyDescent="0.25">
      <c r="B16" s="54">
        <v>0.54166666666666663</v>
      </c>
      <c r="C16" s="98"/>
      <c r="D16" s="17"/>
      <c r="E16" s="132"/>
      <c r="F16" s="132"/>
      <c r="G16" s="163" t="s">
        <v>207</v>
      </c>
      <c r="H16" s="219"/>
      <c r="I16" s="219"/>
      <c r="J16" s="219"/>
    </row>
    <row r="17" spans="2:10" ht="20.25" x14ac:dyDescent="0.25">
      <c r="B17" s="54">
        <v>0.5625</v>
      </c>
      <c r="C17" s="98" t="s">
        <v>111</v>
      </c>
      <c r="D17" s="223" t="s">
        <v>112</v>
      </c>
      <c r="E17" s="15"/>
      <c r="F17" s="15"/>
      <c r="G17" s="15" t="s">
        <v>245</v>
      </c>
      <c r="H17" s="15"/>
      <c r="I17" s="15"/>
      <c r="J17" s="15"/>
    </row>
    <row r="18" spans="2:10" ht="20.25" x14ac:dyDescent="0.25">
      <c r="B18" s="54">
        <v>0.58333333333333337</v>
      </c>
      <c r="C18" s="21" t="s">
        <v>178</v>
      </c>
      <c r="D18" s="17" t="s">
        <v>179</v>
      </c>
      <c r="E18" s="15"/>
      <c r="F18" s="15"/>
      <c r="G18" s="15"/>
      <c r="H18" s="15"/>
      <c r="I18" s="15"/>
      <c r="J18" s="15"/>
    </row>
    <row r="19" spans="2:10" ht="20.25" x14ac:dyDescent="0.25">
      <c r="B19" s="58">
        <v>0.60416666666666663</v>
      </c>
      <c r="C19" s="133" t="s">
        <v>180</v>
      </c>
      <c r="D19" s="134" t="s">
        <v>37</v>
      </c>
      <c r="E19" s="135">
        <v>0.60416666666666663</v>
      </c>
      <c r="F19" s="136" t="s">
        <v>181</v>
      </c>
      <c r="G19" s="137" t="s">
        <v>42</v>
      </c>
      <c r="H19" s="138"/>
      <c r="I19" s="139"/>
      <c r="J19" s="140"/>
    </row>
    <row r="20" spans="2:10" ht="20.25" x14ac:dyDescent="0.25">
      <c r="B20" s="54">
        <v>0.625</v>
      </c>
      <c r="C20" s="21" t="s">
        <v>180</v>
      </c>
      <c r="D20" s="17" t="s">
        <v>37</v>
      </c>
      <c r="E20" s="141">
        <v>0.64583333333333304</v>
      </c>
      <c r="F20" s="142" t="s">
        <v>181</v>
      </c>
      <c r="G20" s="143" t="s">
        <v>42</v>
      </c>
      <c r="H20" s="144"/>
      <c r="I20" s="145"/>
      <c r="J20" s="23"/>
    </row>
    <row r="21" spans="2:10" ht="20.25" x14ac:dyDescent="0.25">
      <c r="B21" s="54">
        <v>0.64583333333333337</v>
      </c>
      <c r="C21" s="44" t="s">
        <v>182</v>
      </c>
      <c r="D21" s="17" t="s">
        <v>177</v>
      </c>
      <c r="E21" s="10"/>
      <c r="F21" s="27"/>
      <c r="G21" s="66"/>
      <c r="H21" s="146"/>
      <c r="I21" s="145"/>
      <c r="J21" s="23"/>
    </row>
    <row r="22" spans="2:10" ht="20.25" x14ac:dyDescent="0.25">
      <c r="B22" s="54">
        <v>0.66666666666666663</v>
      </c>
      <c r="C22" s="44" t="s">
        <v>182</v>
      </c>
      <c r="D22" s="17" t="s">
        <v>177</v>
      </c>
      <c r="E22" s="10">
        <v>0.64583333333333337</v>
      </c>
      <c r="F22" s="10">
        <v>0.66666666666666663</v>
      </c>
      <c r="G22" s="108"/>
      <c r="H22" s="147" t="s">
        <v>183</v>
      </c>
      <c r="I22" s="146"/>
      <c r="J22" s="26"/>
    </row>
    <row r="23" spans="2:10" ht="20.25" x14ac:dyDescent="0.25">
      <c r="B23" s="54">
        <v>0.6875</v>
      </c>
      <c r="C23" s="44" t="s">
        <v>184</v>
      </c>
      <c r="D23" s="17" t="s">
        <v>37</v>
      </c>
      <c r="E23" s="10">
        <v>0.66666666666666663</v>
      </c>
      <c r="F23" s="10"/>
      <c r="G23" s="9"/>
      <c r="H23" s="15"/>
      <c r="I23" s="148"/>
      <c r="J23" s="148"/>
    </row>
    <row r="24" spans="2:10" ht="20.25" x14ac:dyDescent="0.25">
      <c r="B24" s="58">
        <v>0.6875</v>
      </c>
      <c r="C24" s="21" t="s">
        <v>185</v>
      </c>
      <c r="D24" s="17" t="s">
        <v>186</v>
      </c>
      <c r="E24" s="10"/>
      <c r="F24" s="10"/>
      <c r="G24" s="66" t="s">
        <v>187</v>
      </c>
      <c r="H24" s="147" t="s">
        <v>188</v>
      </c>
      <c r="I24" s="148"/>
      <c r="J24" s="26"/>
    </row>
    <row r="25" spans="2:10" ht="20.25" x14ac:dyDescent="0.25">
      <c r="B25" s="58">
        <v>0.70833333333333337</v>
      </c>
      <c r="C25" s="21" t="s">
        <v>80</v>
      </c>
      <c r="D25" s="17" t="s">
        <v>70</v>
      </c>
      <c r="E25" s="141">
        <v>0.6875</v>
      </c>
      <c r="F25" s="142"/>
      <c r="G25" s="166" t="s">
        <v>209</v>
      </c>
      <c r="H25" s="144"/>
      <c r="I25" s="148"/>
      <c r="J25" s="26"/>
    </row>
    <row r="26" spans="2:10" ht="21" thickBot="1" x14ac:dyDescent="0.3">
      <c r="B26" s="58">
        <v>0.72916666666666663</v>
      </c>
      <c r="C26" s="71" t="s">
        <v>189</v>
      </c>
      <c r="D26" s="72" t="s">
        <v>99</v>
      </c>
      <c r="E26" s="15"/>
      <c r="F26" s="15"/>
      <c r="G26" s="166" t="s">
        <v>209</v>
      </c>
      <c r="H26" s="144"/>
      <c r="I26" s="145"/>
      <c r="J26" s="23"/>
    </row>
    <row r="27" spans="2:10" ht="72.75" thickBot="1" x14ac:dyDescent="0.3">
      <c r="B27" s="58">
        <v>0.75</v>
      </c>
      <c r="C27" s="71"/>
      <c r="D27" s="72"/>
      <c r="E27" s="141"/>
      <c r="F27" s="141"/>
      <c r="G27" s="165" t="s">
        <v>208</v>
      </c>
      <c r="H27" s="149"/>
      <c r="I27" s="145"/>
      <c r="J27" s="23"/>
    </row>
  </sheetData>
  <mergeCells count="9">
    <mergeCell ref="H15:J15"/>
    <mergeCell ref="H16:J16"/>
    <mergeCell ref="B4:J4"/>
    <mergeCell ref="B5:J5"/>
    <mergeCell ref="B6:J6"/>
    <mergeCell ref="H7:J7"/>
    <mergeCell ref="H8:J8"/>
    <mergeCell ref="H11:J11"/>
    <mergeCell ref="H13:J1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1157-2EEF-44B5-B156-2CE8B267339F}">
  <dimension ref="B2:J31"/>
  <sheetViews>
    <sheetView topLeftCell="B24" workbookViewId="0">
      <selection activeCell="H19" sqref="H19"/>
    </sheetView>
  </sheetViews>
  <sheetFormatPr defaultRowHeight="15" x14ac:dyDescent="0.25"/>
  <cols>
    <col min="2" max="2" width="20.5703125" customWidth="1"/>
    <col min="3" max="3" width="43.28515625" customWidth="1"/>
    <col min="4" max="4" width="20.7109375" customWidth="1"/>
    <col min="5" max="6" width="15.7109375" customWidth="1"/>
    <col min="7" max="7" width="20.7109375" customWidth="1"/>
    <col min="8" max="8" width="47.42578125" customWidth="1"/>
    <col min="9" max="9" width="32.85546875" customWidth="1"/>
    <col min="10" max="10" width="15.7109375" customWidth="1"/>
  </cols>
  <sheetData>
    <row r="2" spans="2:10" ht="15.75" thickBot="1" x14ac:dyDescent="0.3"/>
    <row r="3" spans="2:10" ht="20.25" x14ac:dyDescent="0.25">
      <c r="B3" s="202" t="s">
        <v>0</v>
      </c>
      <c r="C3" s="203"/>
      <c r="D3" s="204"/>
      <c r="E3" s="204"/>
      <c r="F3" s="204"/>
      <c r="G3" s="204"/>
      <c r="H3" s="204"/>
      <c r="I3" s="204"/>
      <c r="J3" s="205"/>
    </row>
    <row r="4" spans="2:10" ht="20.25" x14ac:dyDescent="0.25">
      <c r="B4" s="195" t="s">
        <v>243</v>
      </c>
      <c r="C4" s="196"/>
      <c r="D4" s="197"/>
      <c r="E4" s="197"/>
      <c r="F4" s="197"/>
      <c r="G4" s="197"/>
      <c r="H4" s="197"/>
      <c r="I4" s="197"/>
      <c r="J4" s="198"/>
    </row>
    <row r="5" spans="2:10" ht="20.25" x14ac:dyDescent="0.25">
      <c r="B5" s="195" t="s">
        <v>88</v>
      </c>
      <c r="C5" s="196"/>
      <c r="D5" s="197"/>
      <c r="E5" s="197"/>
      <c r="F5" s="197"/>
      <c r="G5" s="197"/>
      <c r="H5" s="197"/>
      <c r="I5" s="197"/>
      <c r="J5" s="198"/>
    </row>
    <row r="6" spans="2:10" ht="40.5" x14ac:dyDescent="0.25">
      <c r="B6" s="73" t="s">
        <v>2</v>
      </c>
      <c r="C6" s="1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06" t="s">
        <v>89</v>
      </c>
      <c r="I6" s="207"/>
      <c r="J6" s="208"/>
    </row>
    <row r="7" spans="2:10" ht="20.25" x14ac:dyDescent="0.25">
      <c r="B7" s="104">
        <v>0.33333333333333331</v>
      </c>
      <c r="C7" s="168" t="s">
        <v>210</v>
      </c>
      <c r="D7" s="125" t="s">
        <v>78</v>
      </c>
      <c r="E7" s="2"/>
      <c r="F7" s="2"/>
      <c r="G7" s="2"/>
      <c r="H7" s="169" t="s">
        <v>211</v>
      </c>
      <c r="I7" s="75"/>
      <c r="J7" s="76"/>
    </row>
    <row r="8" spans="2:10" ht="20.25" x14ac:dyDescent="0.25">
      <c r="B8" s="104">
        <v>0.33333333333333331</v>
      </c>
      <c r="C8" s="110" t="s">
        <v>212</v>
      </c>
      <c r="D8" s="111" t="s">
        <v>213</v>
      </c>
      <c r="E8" s="54"/>
      <c r="F8" s="54"/>
      <c r="G8" s="83" t="s">
        <v>27</v>
      </c>
      <c r="H8" s="212"/>
      <c r="I8" s="213"/>
      <c r="J8" s="214"/>
    </row>
    <row r="9" spans="2:10" ht="20.25" x14ac:dyDescent="0.25">
      <c r="B9" s="104">
        <v>0.33333333333333331</v>
      </c>
      <c r="C9" s="82" t="s">
        <v>214</v>
      </c>
      <c r="D9" s="52" t="s">
        <v>186</v>
      </c>
      <c r="E9" s="54"/>
      <c r="F9" s="54"/>
      <c r="G9" s="83" t="s">
        <v>27</v>
      </c>
      <c r="H9" s="212"/>
      <c r="I9" s="213"/>
      <c r="J9" s="214"/>
    </row>
    <row r="10" spans="2:10" ht="20.25" x14ac:dyDescent="0.3">
      <c r="B10" s="81">
        <v>0.33333333333333331</v>
      </c>
      <c r="C10" s="170" t="s">
        <v>215</v>
      </c>
      <c r="D10" s="52" t="s">
        <v>107</v>
      </c>
      <c r="E10" s="54">
        <v>0.33333333333333331</v>
      </c>
      <c r="F10" s="54">
        <v>0.35416666666666669</v>
      </c>
      <c r="G10" s="83" t="s">
        <v>27</v>
      </c>
      <c r="H10" s="212" t="s">
        <v>216</v>
      </c>
      <c r="I10" s="213"/>
      <c r="J10" s="214"/>
    </row>
    <row r="11" spans="2:10" ht="20.25" x14ac:dyDescent="0.3">
      <c r="B11" s="81">
        <v>0.35416666666666669</v>
      </c>
      <c r="C11" s="171" t="s">
        <v>217</v>
      </c>
      <c r="D11" s="172" t="s">
        <v>218</v>
      </c>
      <c r="E11" s="54">
        <v>0.35416666666666669</v>
      </c>
      <c r="F11" s="54"/>
      <c r="G11" s="83" t="s">
        <v>27</v>
      </c>
      <c r="H11" s="173"/>
      <c r="I11" s="85"/>
      <c r="J11" s="86"/>
    </row>
    <row r="12" spans="2:10" ht="20.25" x14ac:dyDescent="0.3">
      <c r="B12" s="81">
        <v>0.35416666666666669</v>
      </c>
      <c r="C12" s="170" t="s">
        <v>215</v>
      </c>
      <c r="D12" s="52" t="s">
        <v>107</v>
      </c>
      <c r="E12" s="54"/>
      <c r="F12" s="54"/>
      <c r="G12" s="83" t="s">
        <v>27</v>
      </c>
      <c r="I12" s="85"/>
      <c r="J12" s="86"/>
    </row>
    <row r="13" spans="2:10" ht="20.25" x14ac:dyDescent="0.3">
      <c r="B13" s="81">
        <v>0.35416666666666669</v>
      </c>
      <c r="C13" s="174" t="s">
        <v>215</v>
      </c>
      <c r="D13" s="20" t="s">
        <v>107</v>
      </c>
      <c r="E13" s="54"/>
      <c r="F13" s="93"/>
      <c r="H13" s="107"/>
      <c r="I13" s="97"/>
      <c r="J13" s="91"/>
    </row>
    <row r="14" spans="2:10" ht="20.25" x14ac:dyDescent="0.3">
      <c r="B14" s="81">
        <v>0.375</v>
      </c>
      <c r="C14" s="175" t="s">
        <v>219</v>
      </c>
      <c r="D14" s="172" t="s">
        <v>220</v>
      </c>
      <c r="E14" s="54">
        <v>0.375</v>
      </c>
      <c r="F14" s="54">
        <v>0.39583333333333331</v>
      </c>
      <c r="G14" s="83" t="s">
        <v>34</v>
      </c>
      <c r="H14" s="84" t="s">
        <v>221</v>
      </c>
      <c r="I14" s="85"/>
      <c r="J14" s="86"/>
    </row>
    <row r="15" spans="2:10" ht="20.25" x14ac:dyDescent="0.3">
      <c r="B15" s="81">
        <v>0.39583333333333331</v>
      </c>
      <c r="C15" s="175" t="s">
        <v>222</v>
      </c>
      <c r="D15" s="172" t="s">
        <v>70</v>
      </c>
      <c r="E15" s="54"/>
      <c r="F15" s="54"/>
      <c r="G15" s="83"/>
      <c r="H15" s="84"/>
      <c r="I15" s="85"/>
      <c r="J15" s="86"/>
    </row>
    <row r="16" spans="2:10" ht="20.25" x14ac:dyDescent="0.3">
      <c r="B16" s="81">
        <v>0.39583333333333331</v>
      </c>
      <c r="C16" s="175" t="s">
        <v>223</v>
      </c>
      <c r="D16" s="172" t="s">
        <v>58</v>
      </c>
      <c r="E16" s="54"/>
      <c r="F16" s="54"/>
      <c r="G16" s="83"/>
      <c r="H16" s="84"/>
      <c r="I16" s="85"/>
      <c r="J16" s="86"/>
    </row>
    <row r="17" spans="2:10" ht="20.25" x14ac:dyDescent="0.3">
      <c r="B17" s="81">
        <v>0.39583333333333331</v>
      </c>
      <c r="C17" s="176" t="s">
        <v>219</v>
      </c>
      <c r="D17" s="172" t="s">
        <v>220</v>
      </c>
      <c r="E17" s="177"/>
      <c r="F17" s="178"/>
      <c r="G17" s="179" t="s">
        <v>34</v>
      </c>
      <c r="H17" s="180"/>
      <c r="I17" s="97"/>
      <c r="J17" s="91"/>
    </row>
    <row r="18" spans="2:10" ht="20.25" x14ac:dyDescent="0.25">
      <c r="B18" s="81">
        <v>0.41666666666666669</v>
      </c>
      <c r="C18" s="94" t="s">
        <v>224</v>
      </c>
      <c r="D18" s="52" t="s">
        <v>23</v>
      </c>
      <c r="E18" s="15"/>
      <c r="F18" s="15"/>
      <c r="G18" s="15"/>
      <c r="H18" s="48" t="s">
        <v>125</v>
      </c>
      <c r="I18" s="60"/>
      <c r="J18" s="181"/>
    </row>
    <row r="19" spans="2:10" ht="20.25" x14ac:dyDescent="0.25">
      <c r="B19" s="81">
        <v>0.41666666666666669</v>
      </c>
      <c r="C19" s="55" t="s">
        <v>225</v>
      </c>
      <c r="D19" s="52" t="s">
        <v>186</v>
      </c>
      <c r="E19" s="54"/>
      <c r="F19" s="54"/>
      <c r="G19" s="83" t="s">
        <v>226</v>
      </c>
      <c r="H19" s="190" t="s">
        <v>244</v>
      </c>
      <c r="I19" s="97"/>
      <c r="J19" s="91"/>
    </row>
    <row r="20" spans="2:10" ht="20.25" x14ac:dyDescent="0.25">
      <c r="B20" s="81">
        <v>0.4375</v>
      </c>
      <c r="C20" s="183" t="s">
        <v>227</v>
      </c>
      <c r="D20" s="111" t="s">
        <v>78</v>
      </c>
      <c r="E20" s="54"/>
      <c r="F20" s="54"/>
      <c r="G20" s="83" t="s">
        <v>42</v>
      </c>
      <c r="H20" s="182"/>
      <c r="I20" s="97"/>
      <c r="J20" s="91"/>
    </row>
    <row r="21" spans="2:10" ht="20.25" x14ac:dyDescent="0.25">
      <c r="B21" s="81">
        <v>0.4375</v>
      </c>
      <c r="C21" s="184" t="s">
        <v>228</v>
      </c>
      <c r="D21" s="111" t="s">
        <v>78</v>
      </c>
      <c r="E21" s="54"/>
      <c r="F21" s="54"/>
      <c r="G21" s="83"/>
      <c r="H21" s="182"/>
      <c r="I21" s="85"/>
      <c r="J21" s="86"/>
    </row>
    <row r="22" spans="2:10" ht="20.25" x14ac:dyDescent="0.3">
      <c r="B22" s="81">
        <v>0.4375</v>
      </c>
      <c r="C22" s="120" t="s">
        <v>229</v>
      </c>
      <c r="D22" s="185" t="s">
        <v>58</v>
      </c>
      <c r="E22" s="54"/>
      <c r="F22" s="54"/>
      <c r="G22" s="83"/>
      <c r="H22" s="182"/>
      <c r="I22" s="85"/>
      <c r="J22" s="86"/>
    </row>
    <row r="23" spans="2:10" ht="20.25" x14ac:dyDescent="0.3">
      <c r="B23" s="81">
        <v>0.4375</v>
      </c>
      <c r="C23" s="186" t="s">
        <v>230</v>
      </c>
      <c r="D23" s="172" t="s">
        <v>23</v>
      </c>
      <c r="G23" s="83"/>
      <c r="H23" s="84" t="s">
        <v>231</v>
      </c>
      <c r="I23" s="85"/>
      <c r="J23" s="86"/>
    </row>
    <row r="24" spans="2:10" ht="20.25" x14ac:dyDescent="0.25">
      <c r="B24" s="81">
        <v>0.45833333333333331</v>
      </c>
      <c r="C24" s="94" t="s">
        <v>232</v>
      </c>
      <c r="D24" s="52" t="s">
        <v>233</v>
      </c>
      <c r="E24" s="54">
        <v>0.45833333333333331</v>
      </c>
      <c r="F24" s="54">
        <v>0.47916666666666669</v>
      </c>
      <c r="G24" s="83" t="s">
        <v>34</v>
      </c>
      <c r="H24" s="106"/>
      <c r="I24" s="85"/>
      <c r="J24" s="86"/>
    </row>
    <row r="25" spans="2:10" ht="20.25" x14ac:dyDescent="0.25">
      <c r="B25" s="81">
        <v>0.45833333333333331</v>
      </c>
      <c r="C25" s="55" t="s">
        <v>234</v>
      </c>
      <c r="D25" s="52" t="s">
        <v>233</v>
      </c>
      <c r="E25" s="54">
        <v>0.45833333333333331</v>
      </c>
      <c r="F25" s="54">
        <v>0.47916666666666669</v>
      </c>
      <c r="G25" s="83" t="s">
        <v>235</v>
      </c>
      <c r="H25" s="106"/>
      <c r="I25" s="123"/>
      <c r="J25" s="86"/>
    </row>
    <row r="26" spans="2:10" ht="20.25" x14ac:dyDescent="0.3">
      <c r="B26" s="81">
        <v>0.45833333333333331</v>
      </c>
      <c r="C26" s="55" t="s">
        <v>236</v>
      </c>
      <c r="D26" s="52" t="s">
        <v>186</v>
      </c>
      <c r="E26" s="58"/>
      <c r="F26" s="88"/>
      <c r="G26" s="52" t="s">
        <v>237</v>
      </c>
      <c r="H26" s="187"/>
      <c r="I26" s="107"/>
      <c r="J26" s="86"/>
    </row>
    <row r="27" spans="2:10" ht="20.25" x14ac:dyDescent="0.25">
      <c r="B27" s="81">
        <v>0.47916666666666669</v>
      </c>
      <c r="C27" s="188" t="s">
        <v>238</v>
      </c>
      <c r="D27" s="52" t="s">
        <v>239</v>
      </c>
      <c r="E27" s="58"/>
      <c r="F27" s="88"/>
      <c r="G27" s="52"/>
      <c r="H27" s="187"/>
      <c r="I27" s="97"/>
      <c r="J27" s="91"/>
    </row>
    <row r="28" spans="2:10" ht="20.25" x14ac:dyDescent="0.25">
      <c r="B28" s="81">
        <v>0.47916666666666669</v>
      </c>
      <c r="C28" s="110" t="s">
        <v>240</v>
      </c>
      <c r="D28" s="111" t="s">
        <v>78</v>
      </c>
      <c r="E28" s="58"/>
      <c r="F28" s="88"/>
      <c r="G28" s="83" t="s">
        <v>241</v>
      </c>
      <c r="H28" s="189"/>
      <c r="I28" s="97"/>
      <c r="J28" s="91"/>
    </row>
    <row r="29" spans="2:10" ht="20.25" x14ac:dyDescent="0.25">
      <c r="B29" s="81">
        <v>0.47916666666666669</v>
      </c>
      <c r="C29" s="55" t="s">
        <v>232</v>
      </c>
      <c r="D29" s="52" t="s">
        <v>233</v>
      </c>
      <c r="E29" s="58"/>
      <c r="F29" s="88"/>
      <c r="G29" s="83" t="s">
        <v>34</v>
      </c>
      <c r="H29" s="187"/>
      <c r="I29" s="97"/>
      <c r="J29" s="91"/>
    </row>
    <row r="30" spans="2:10" ht="20.25" x14ac:dyDescent="0.25">
      <c r="B30" s="81">
        <v>0.47916666666666669</v>
      </c>
      <c r="C30" s="55" t="s">
        <v>234</v>
      </c>
      <c r="D30" s="52" t="s">
        <v>233</v>
      </c>
      <c r="E30" s="58"/>
      <c r="F30" s="88"/>
      <c r="G30" s="52" t="s">
        <v>242</v>
      </c>
      <c r="H30" s="187"/>
      <c r="I30" s="97"/>
      <c r="J30" s="91"/>
    </row>
    <row r="31" spans="2:10" ht="20.25" x14ac:dyDescent="0.25">
      <c r="B31" s="81">
        <v>0.5</v>
      </c>
      <c r="C31" s="82"/>
      <c r="D31" s="83"/>
      <c r="E31" s="54"/>
      <c r="F31" s="93"/>
      <c r="G31" s="52"/>
      <c r="H31" s="187"/>
      <c r="I31" s="97"/>
      <c r="J31" s="91"/>
    </row>
  </sheetData>
  <mergeCells count="7">
    <mergeCell ref="H6:J6"/>
    <mergeCell ref="H8:J8"/>
    <mergeCell ref="H9:J9"/>
    <mergeCell ref="H10:J10"/>
    <mergeCell ref="B3:J3"/>
    <mergeCell ref="B4:J4"/>
    <mergeCell ref="B5:J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segunda</vt:lpstr>
      <vt:lpstr>terça</vt:lpstr>
      <vt:lpstr>quarta</vt:lpstr>
      <vt:lpstr>sexta</vt:lpstr>
      <vt:lpstr>sábado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Belletti</dc:creator>
  <cp:lastModifiedBy>Patricia Belletti</cp:lastModifiedBy>
  <dcterms:created xsi:type="dcterms:W3CDTF">2025-07-28T18:26:11Z</dcterms:created>
  <dcterms:modified xsi:type="dcterms:W3CDTF">2025-07-30T14:12:32Z</dcterms:modified>
</cp:coreProperties>
</file>